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ngebote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'Übersicht'!$A$1:$F$14</definedName>
    <definedName name="_xlnm._FilterDatabase" localSheetId="1" hidden="1">'Angebote'!$A$1:$S$100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63BE7B"/>
        </patternFill>
      </fill>
    </dxf>
    <dxf>
      <fill>
        <patternFill patternType="solid">
          <bgColor rgb="00FFEB84"/>
        </patternFill>
      </fill>
    </dxf>
    <dxf>
      <fill>
        <patternFill patternType="solid"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36" customWidth="1" min="2" max="2"/>
    <col width="34" customWidth="1" min="3" max="3"/>
    <col width="20" customWidth="1" min="4" max="4"/>
    <col width="56" customWidth="1" min="5" max="5"/>
    <col width="60" customWidth="1" min="6" max="6"/>
  </cols>
  <sheetData>
    <row r="1" ht="26" customHeight="1">
      <c r="A1" s="1" t="inlineStr">
        <is>
          <t>Makler</t>
        </is>
      </c>
      <c r="B1" s="1" t="inlineStr">
        <is>
          <t>Ort</t>
        </is>
      </c>
      <c r="C1" s="1" t="inlineStr">
        <is>
          <t>Kontakt</t>
        </is>
      </c>
      <c r="D1" s="1" t="inlineStr">
        <is>
          <t>Stand</t>
        </is>
      </c>
      <c r="E1" s="1" t="inlineStr">
        <is>
          <t>Nächster Schritt</t>
        </is>
      </c>
      <c r="F1" s="1" t="inlineStr">
        <is>
          <t>Letzte Aktion</t>
        </is>
      </c>
    </row>
    <row r="2">
      <c r="A2" s="2" t="inlineStr">
        <is>
          <t>Engel &amp; Völkers Weilheim-Schongau</t>
        </is>
      </c>
      <c r="B2" s="3" t="inlineStr">
        <is>
          <t>Weilheim · Fr. Weber</t>
        </is>
      </c>
      <c r="C2" s="3" t="inlineStr">
        <is>
          <t>gabriela.weber@engelvoelkers.com</t>
        </is>
      </c>
      <c r="D2" s="4" t="inlineStr">
        <is>
          <t>Wartet auf Antwort</t>
        </is>
      </c>
      <c r="E2" s="3" t="inlineStr">
        <is>
          <t>Neue Objekte abwarten (PH/DG, Südterrasse, Aufzug ~100 m²)</t>
        </is>
      </c>
      <c r="F2" s="3" t="inlineStr">
        <is>
          <t>15.10. Hochufer abgelehnt (keine Terrasse), Kaufpreisrahmen bis 1,25 Mio genannt</t>
        </is>
      </c>
    </row>
    <row r="3">
      <c r="A3" s="2" t="inlineStr">
        <is>
          <t>LOEGER Immobilien</t>
        </is>
      </c>
      <c r="B3" s="3" t="inlineStr">
        <is>
          <t>Tutzing · Fr. Löger-Hohenwarter</t>
        </is>
      </c>
      <c r="C3" s="3" t="inlineStr">
        <is>
          <t>info@loeger.de</t>
        </is>
      </c>
      <c r="D3" s="4" t="inlineStr">
        <is>
          <t>Wartet auf Objekte</t>
        </is>
      </c>
      <c r="E3" s="3" t="inlineStr">
        <is>
          <t>—</t>
        </is>
      </c>
      <c r="F3" s="3" t="inlineStr">
        <is>
          <t>14.10. Suchprofil erstellt, Anschrift + 750–1.250 T€ gesendet</t>
        </is>
      </c>
    </row>
    <row r="4">
      <c r="A4" s="2" t="inlineStr">
        <is>
          <t>SEDLMAYR Immobilien</t>
        </is>
      </c>
      <c r="B4" s="3" t="inlineStr">
        <is>
          <t>Andechs · Fr. Matthern</t>
        </is>
      </c>
      <c r="C4" s="3" t="inlineStr">
        <is>
          <t>info@sedlmayr-immo.de</t>
        </is>
      </c>
      <c r="D4" s="4" t="inlineStr">
        <is>
          <t>Wartet auf Objekte</t>
        </is>
      </c>
      <c r="E4" s="3" t="inlineStr">
        <is>
          <t>—</t>
        </is>
      </c>
      <c r="F4" s="3" t="inlineStr">
        <is>
          <t>14.10. Online-Suchprofil ausgefüllt (Weilheim +50 km, 90–110 m²)</t>
        </is>
      </c>
    </row>
    <row r="5">
      <c r="A5" s="2" t="inlineStr">
        <is>
          <t>Kreissparkasse München Starnberg Ebersberg</t>
        </is>
      </c>
      <c r="B5" s="3" t="inlineStr">
        <is>
          <t>ImmobilienServiceCenter · Fr. Beißengroll</t>
        </is>
      </c>
      <c r="C5" s="3" t="inlineStr">
        <is>
          <t>jennifer.beissengroll@kskmse.de</t>
        </is>
      </c>
      <c r="D5" s="4" t="inlineStr">
        <is>
          <t>Wartet auf Objekte</t>
        </is>
      </c>
      <c r="E5" s="3" t="inlineStr">
        <is>
          <t>—</t>
        </is>
      </c>
      <c r="F5" s="3" t="inlineStr">
        <is>
          <t>14.10. Kontaktdaten + Preisrahmen gesendet, in Gesuchdatei</t>
        </is>
      </c>
    </row>
    <row r="6">
      <c r="A6" s="2" t="inlineStr">
        <is>
          <t>Schneider &amp; Prell Immobilientreuhand</t>
        </is>
      </c>
      <c r="B6" s="3" t="inlineStr">
        <is>
          <t>Wolfratshausen · Fr. Pfeiffer</t>
        </is>
      </c>
      <c r="C6" s="3" t="inlineStr">
        <is>
          <t>h.pfeiffer@schneider-prell.de</t>
        </is>
      </c>
      <c r="D6" s="4" t="inlineStr">
        <is>
          <t>Wartet auf Objekte</t>
        </is>
      </c>
      <c r="E6" s="3" t="inlineStr">
        <is>
          <t>—</t>
        </is>
      </c>
      <c r="F6" s="3" t="inlineStr">
        <is>
          <t>14.10. Kontaktformular ausgefüllt (Anschrift, Festnetz)</t>
        </is>
      </c>
    </row>
    <row r="7">
      <c r="A7" s="2" t="inlineStr">
        <is>
          <t>FT Immobilien 24</t>
        </is>
      </c>
      <c r="B7" s="3" t="inlineStr">
        <is>
          <t>Unterföhring · Hr. Tortorici</t>
        </is>
      </c>
      <c r="C7" s="3" t="inlineStr">
        <is>
          <t>kontakt@ftimmobilien24.com</t>
        </is>
      </c>
      <c r="D7" s="4" t="inlineStr">
        <is>
          <t>Wartet auf Objekte</t>
        </is>
      </c>
      <c r="E7" s="3" t="inlineStr">
        <is>
          <t>—</t>
        </is>
      </c>
      <c r="F7" s="3" t="inlineStr">
        <is>
          <t>14.10. in Interessentenkartei aufgenommen</t>
        </is>
      </c>
    </row>
    <row r="8">
      <c r="A8" s="2" t="inlineStr">
        <is>
          <t>Engel &amp; Völkers Starnberg</t>
        </is>
      </c>
      <c r="B8" s="3" t="inlineStr">
        <is>
          <t>Starnberg</t>
        </is>
      </c>
      <c r="C8" s="3" t="inlineStr">
        <is>
          <t>contact@ (Ersatz-Adresse)</t>
        </is>
      </c>
      <c r="D8" s="4" t="inlineStr">
        <is>
          <t>Wartet auf Antwort</t>
        </is>
      </c>
      <c r="E8" s="3" t="inlineStr">
        <is>
          <t>—</t>
        </is>
      </c>
      <c r="F8" s="3" t="inlineStr">
        <is>
          <t>15.10. Voranfrage v4 an Ersatz-Adresse gesendet (alte Mail unzustellbar)</t>
        </is>
      </c>
    </row>
    <row r="9">
      <c r="A9" s="2" t="inlineStr">
        <is>
          <t>Engel &amp; Völkers München West</t>
        </is>
      </c>
      <c r="B9" s="3" t="inlineStr">
        <is>
          <t>Germering</t>
        </is>
      </c>
      <c r="C9" s="3" t="inlineStr">
        <is>
          <t>nur Kontaktformular</t>
        </is>
      </c>
      <c r="D9" s="5" t="inlineStr">
        <is>
          <t>Formular manuell</t>
        </is>
      </c>
      <c r="E9" s="3" t="inlineStr">
        <is>
          <t>Formular selbst absenden (Captcha) – Text: scratch/makler_formulare_20261014/formular_text.txt</t>
        </is>
      </c>
      <c r="F9" s="3" t="inlineStr">
        <is>
          <t>14.10. Formular-Versuch: Captcha</t>
        </is>
      </c>
    </row>
    <row r="10">
      <c r="A10" s="2" t="inlineStr">
        <is>
          <t>Engel &amp; Völkers Münchner Westen</t>
        </is>
      </c>
      <c r="B10" s="3" t="inlineStr">
        <is>
          <t>Gräfelfing</t>
        </is>
      </c>
      <c r="C10" s="3" t="inlineStr">
        <is>
          <t>nur Kontaktformular</t>
        </is>
      </c>
      <c r="D10" s="5" t="inlineStr">
        <is>
          <t>Formular manuell</t>
        </is>
      </c>
      <c r="E10" s="3" t="inlineStr">
        <is>
          <t>Formular selbst absenden (Captcha)</t>
        </is>
      </c>
      <c r="F10" s="3" t="inlineStr">
        <is>
          <t>14.10. Formular-Versuch: Captcha</t>
        </is>
      </c>
    </row>
    <row r="11">
      <c r="A11" s="2" t="inlineStr">
        <is>
          <t>Engel &amp; Völkers Ostallgäu – Maria Platz</t>
        </is>
      </c>
      <c r="B11" s="3" t="inlineStr">
        <is>
          <t>Ostallgäu</t>
        </is>
      </c>
      <c r="C11" s="3" t="inlineStr">
        <is>
          <t>nur Kontaktformular</t>
        </is>
      </c>
      <c r="D11" s="5" t="inlineStr">
        <is>
          <t>Formular manuell</t>
        </is>
      </c>
      <c r="E11" s="3" t="inlineStr">
        <is>
          <t>Formular selbst absenden (Captcha)</t>
        </is>
      </c>
      <c r="F11" s="3" t="inlineStr">
        <is>
          <t>14.10. Formular-Versuch: Captcha</t>
        </is>
      </c>
    </row>
    <row r="12">
      <c r="A12" s="2" t="inlineStr">
        <is>
          <t>VON POLL IMMOBILIEN Füssen</t>
        </is>
      </c>
      <c r="B12" s="3" t="inlineStr">
        <is>
          <t>Füssen</t>
        </is>
      </c>
      <c r="C12" s="3" t="inlineStr">
        <is>
          <t>nur Kontaktformular</t>
        </is>
      </c>
      <c r="D12" s="5" t="inlineStr">
        <is>
          <t>Formular manuell</t>
        </is>
      </c>
      <c r="E12" s="3" t="inlineStr">
        <is>
          <t>Formular selbst absenden (Bot-Schutz 403)</t>
        </is>
      </c>
      <c r="F12" s="3" t="inlineStr">
        <is>
          <t>14.10. Formular-Versuch: blockt Automat</t>
        </is>
      </c>
    </row>
    <row r="13">
      <c r="A13" s="2" t="inlineStr">
        <is>
          <t>RE/MAX Immobilien Bad Tölz</t>
        </is>
      </c>
      <c r="B13" s="3" t="inlineStr">
        <is>
          <t>Bad Tölz</t>
        </is>
      </c>
      <c r="C13" s="3" t="inlineStr">
        <is>
          <t>nur Kontaktformular</t>
        </is>
      </c>
      <c r="D13" s="5" t="inlineStr">
        <is>
          <t>Formular manuell</t>
        </is>
      </c>
      <c r="E13" s="3" t="inlineStr">
        <is>
          <t>Formular selbst absenden (Security Verification)</t>
        </is>
      </c>
      <c r="F13" s="3" t="inlineStr">
        <is>
          <t>14.10. Formular-Versuch: blockt Automat</t>
        </is>
      </c>
    </row>
    <row r="14">
      <c r="A14" s="2" t="inlineStr">
        <is>
          <t>Aigner Immobilien</t>
        </is>
      </c>
      <c r="B14" s="3" t="inlineStr">
        <is>
          <t>München Sendling · Fr. Becker</t>
        </is>
      </c>
      <c r="C14" s="3" t="inlineStr">
        <is>
          <t>info@aigner-immobilien.de</t>
        </is>
      </c>
      <c r="D14" s="6" t="inlineStr">
        <is>
          <t>Absage</t>
        </is>
      </c>
      <c r="E14" s="3" t="inlineStr">
        <is>
          <t>—</t>
        </is>
      </c>
      <c r="F14" s="3" t="inlineStr">
        <is>
          <t>14.10. Absage gesendet (Obermenzing = Etagenwohnung, No-Go)</t>
        </is>
      </c>
    </row>
  </sheetData>
  <autoFilter ref="A1:F14"/>
  <dataValidations count="1">
    <dataValidation sqref="D2:D34" showDropDown="0" showInputMessage="0" showErrorMessage="0" allowBlank="1" type="list">
      <formula1>"Wartet auf Antwort,Wartet auf Objekte,Formular manuell,Absage,Neu prüfen"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30" customWidth="1" min="1" max="1"/>
    <col width="44" customWidth="1" min="2" max="2"/>
    <col width="16" customWidth="1" min="3" max="3"/>
    <col width="13" customWidth="1" min="4" max="4"/>
    <col width="8" customWidth="1" min="5" max="5"/>
    <col width="9" customWidth="1" min="6" max="6"/>
    <col width="14" customWidth="1" min="7" max="7"/>
    <col width="44" customWidth="1" min="8" max="8"/>
    <col outlineLevel="1" width="12" customWidth="1" min="9" max="19"/>
  </cols>
  <sheetData>
    <row r="1" ht="44" customHeight="1">
      <c r="A1" s="7" t="inlineStr">
        <is>
          <t>Makler</t>
        </is>
      </c>
      <c r="B1" s="7" t="inlineStr">
        <is>
          <t>Objekt / Lage</t>
        </is>
      </c>
      <c r="C1" s="7" t="inlineStr">
        <is>
          <t>Typ</t>
        </is>
      </c>
      <c r="D1" s="7" t="inlineStr">
        <is>
          <t>Preis €</t>
        </is>
      </c>
      <c r="E1" s="7" t="inlineStr">
        <is>
          <t>m²</t>
        </is>
      </c>
      <c r="F1" s="7" t="inlineStr">
        <is>
          <t>Score</t>
        </is>
      </c>
      <c r="G1" s="7" t="inlineStr">
        <is>
          <t>Wertung</t>
        </is>
      </c>
      <c r="H1" s="7" t="inlineStr">
        <is>
          <t>Notiz</t>
        </is>
      </c>
      <c r="I1" s="7" t="inlineStr">
        <is>
          <t>Aufzug</t>
        </is>
      </c>
      <c r="J1" s="7" t="inlineStr">
        <is>
          <t>Südterrasse</t>
        </is>
      </c>
      <c r="K1" s="7" t="inlineStr">
        <is>
          <t>Lage im Suchraum</t>
        </is>
      </c>
      <c r="L1" s="7" t="inlineStr">
        <is>
          <t>Gesundheit/Fitness</t>
        </is>
      </c>
      <c r="M1" s="7" t="inlineStr">
        <is>
          <t>Neubau/gepflegt</t>
        </is>
      </c>
      <c r="N1" s="7" t="inlineStr">
        <is>
          <t>Fußbodenheizung</t>
        </is>
      </c>
      <c r="O1" s="7" t="inlineStr">
        <is>
          <t>Tiefgarage+Ladestation</t>
        </is>
      </c>
      <c r="P1" s="7" t="inlineStr">
        <is>
          <t>Keller</t>
        </is>
      </c>
      <c r="Q1" s="7" t="inlineStr">
        <is>
          <t>ruhig</t>
        </is>
      </c>
      <c r="R1" s="7" t="inlineStr">
        <is>
          <t>Preis im Rahmen</t>
        </is>
      </c>
      <c r="S1" s="7" t="inlineStr">
        <is>
          <t>Größe ca. 100</t>
        </is>
      </c>
    </row>
    <row r="2">
      <c r="A2" s="8" t="inlineStr">
        <is>
          <t>Aigner Immobilien</t>
        </is>
      </c>
      <c r="B2" s="8" t="inlineStr">
        <is>
          <t>Obermenzing, 81247 München (Obj. 43421, 4 Zi.)</t>
        </is>
      </c>
      <c r="C2" s="8" t="inlineStr">
        <is>
          <t>Etagenwohnung</t>
        </is>
      </c>
      <c r="D2" s="9" t="n"/>
      <c r="E2" s="10" t="n">
        <v>91.42</v>
      </c>
      <c r="F2" s="10">
        <f>IF(A2="","",IF(OR(C2="Etagenwohnung",I2="N"),0,ROUND(100*(3*IF(J2="J",1,IF(J2="N",0,0.5))+3*IF(K2="J",1,IF(K2="N",0,0.5))+2*IF(L2="J",1,IF(L2="N",0,0.5))+2*IF(M2="J",1,IF(M2="N",0,0.5))+1*IF(N2="J",1,IF(N2="N",0,0.5))+1*IF(O2="J",1,IF(O2="N",0,0.5))+1*IF(P2="J",1,IF(P2="N",0,0.5))+1*IF(Q2="J",1,IF(Q2="N",0,0.5))+2*IF(R2="J",1,IF(R2="N",0,0.5))+3*IF(S2="J",1,IF(S2="N",0,0.5)))/19,0)))</f>
        <v/>
      </c>
      <c r="G2" s="10" t="inlineStr">
        <is>
          <t>Absage</t>
        </is>
      </c>
      <c r="H2" s="8" t="inlineStr">
        <is>
          <t>Etagenwohnung = No-Go; Absage 14.10. gesendet</t>
        </is>
      </c>
      <c r="I2" s="10" t="inlineStr">
        <is>
          <t>?</t>
        </is>
      </c>
      <c r="J2" s="10" t="inlineStr">
        <is>
          <t>?</t>
        </is>
      </c>
      <c r="K2" s="10" t="inlineStr">
        <is>
          <t>J</t>
        </is>
      </c>
      <c r="L2" s="10" t="inlineStr">
        <is>
          <t>?</t>
        </is>
      </c>
      <c r="M2" s="10" t="inlineStr">
        <is>
          <t>?</t>
        </is>
      </c>
      <c r="N2" s="10" t="inlineStr">
        <is>
          <t>?</t>
        </is>
      </c>
      <c r="O2" s="10" t="inlineStr">
        <is>
          <t>?</t>
        </is>
      </c>
      <c r="P2" s="10" t="inlineStr">
        <is>
          <t>?</t>
        </is>
      </c>
      <c r="Q2" s="10" t="inlineStr">
        <is>
          <t>?</t>
        </is>
      </c>
      <c r="R2" s="10">
        <f>IF(A2="","",IF(D2="","?",IF(D2&lt;=1250000,"J","N")))</f>
        <v/>
      </c>
      <c r="S2" s="10">
        <f>IF(A2="","",IF(E2="","?",IF(AND(E2&gt;=90,E2&lt;=115),"J","N")))</f>
        <v/>
      </c>
    </row>
    <row r="3">
      <c r="A3" s="8" t="inlineStr">
        <is>
          <t>Engel &amp; Völkers Weilheim</t>
        </is>
      </c>
      <c r="B3" s="8" t="inlineStr">
        <is>
          <t>Neubauprojekt „Am Hochufer“, Weilheim</t>
        </is>
      </c>
      <c r="C3" s="8" t="inlineStr">
        <is>
          <t>?</t>
        </is>
      </c>
      <c r="D3" s="9" t="n">
        <v>615000</v>
      </c>
      <c r="E3" s="10" t="n"/>
      <c r="F3" s="10">
        <f>IF(A3="","",IF(OR(C3="Etagenwohnung",I3="N"),0,ROUND(100*(3*IF(J3="J",1,IF(J3="N",0,0.5))+3*IF(K3="J",1,IF(K3="N",0,0.5))+2*IF(L3="J",1,IF(L3="N",0,0.5))+2*IF(M3="J",1,IF(M3="N",0,0.5))+1*IF(N3="J",1,IF(N3="N",0,0.5))+1*IF(O3="J",1,IF(O3="N",0,0.5))+1*IF(P3="J",1,IF(P3="N",0,0.5))+1*IF(Q3="J",1,IF(Q3="N",0,0.5))+2*IF(R3="J",1,IF(R3="N",0,0.5))+3*IF(S3="J",1,IF(S3="N",0,0.5)))/19,0)))</f>
        <v/>
      </c>
      <c r="G3" s="10" t="inlineStr">
        <is>
          <t>Absage</t>
        </is>
      </c>
      <c r="H3" s="8" t="inlineStr">
        <is>
          <t>15.10. abgelehnt: keine Terrasse</t>
        </is>
      </c>
      <c r="I3" s="10" t="inlineStr">
        <is>
          <t>?</t>
        </is>
      </c>
      <c r="J3" s="10" t="inlineStr">
        <is>
          <t>N</t>
        </is>
      </c>
      <c r="K3" s="10" t="inlineStr">
        <is>
          <t>J</t>
        </is>
      </c>
      <c r="L3" s="10" t="inlineStr">
        <is>
          <t>?</t>
        </is>
      </c>
      <c r="M3" s="10" t="inlineStr">
        <is>
          <t>J</t>
        </is>
      </c>
      <c r="N3" s="10" t="inlineStr">
        <is>
          <t>?</t>
        </is>
      </c>
      <c r="O3" s="10" t="inlineStr">
        <is>
          <t>?</t>
        </is>
      </c>
      <c r="P3" s="10" t="inlineStr">
        <is>
          <t>?</t>
        </is>
      </c>
      <c r="Q3" s="10" t="inlineStr">
        <is>
          <t>?</t>
        </is>
      </c>
      <c r="R3" s="10">
        <f>IF(A3="","",IF(D3="","?",IF(D3&lt;=1250000,"J","N")))</f>
        <v/>
      </c>
      <c r="S3" s="10">
        <f>IF(A3="","",IF(E3="","?",IF(AND(E3&gt;=90,E3&lt;=115),"J","N")))</f>
        <v/>
      </c>
    </row>
    <row r="4">
      <c r="A4" s="8" t="n"/>
      <c r="B4" s="8" t="n"/>
      <c r="C4" s="8" t="n"/>
      <c r="D4" s="9" t="n"/>
      <c r="E4" s="10" t="n"/>
      <c r="F4" s="10">
        <f>IF(A4="","",IF(OR(C4="Etagenwohnung",I4="N"),0,ROUND(100*(3*IF(J4="J",1,IF(J4="N",0,0.5))+3*IF(K4="J",1,IF(K4="N",0,0.5))+2*IF(L4="J",1,IF(L4="N",0,0.5))+2*IF(M4="J",1,IF(M4="N",0,0.5))+1*IF(N4="J",1,IF(N4="N",0,0.5))+1*IF(O4="J",1,IF(O4="N",0,0.5))+1*IF(P4="J",1,IF(P4="N",0,0.5))+1*IF(Q4="J",1,IF(Q4="N",0,0.5))+2*IF(R4="J",1,IF(R4="N",0,0.5))+3*IF(S4="J",1,IF(S4="N",0,0.5)))/19,0)))</f>
        <v/>
      </c>
      <c r="G4" s="10" t="n"/>
      <c r="H4" s="8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>
        <f>IF(A4="","",IF(D4="","?",IF(D4&lt;=1250000,"J","N")))</f>
        <v/>
      </c>
      <c r="S4" s="10">
        <f>IF(A4="","",IF(E4="","?",IF(AND(E4&gt;=90,E4&lt;=115),"J","N")))</f>
        <v/>
      </c>
    </row>
    <row r="5">
      <c r="A5" s="8" t="n"/>
      <c r="B5" s="8" t="n"/>
      <c r="C5" s="8" t="n"/>
      <c r="D5" s="9" t="n"/>
      <c r="E5" s="10" t="n"/>
      <c r="F5" s="10">
        <f>IF(A5="","",IF(OR(C5="Etagenwohnung",I5="N"),0,ROUND(100*(3*IF(J5="J",1,IF(J5="N",0,0.5))+3*IF(K5="J",1,IF(K5="N",0,0.5))+2*IF(L5="J",1,IF(L5="N",0,0.5))+2*IF(M5="J",1,IF(M5="N",0,0.5))+1*IF(N5="J",1,IF(N5="N",0,0.5))+1*IF(O5="J",1,IF(O5="N",0,0.5))+1*IF(P5="J",1,IF(P5="N",0,0.5))+1*IF(Q5="J",1,IF(Q5="N",0,0.5))+2*IF(R5="J",1,IF(R5="N",0,0.5))+3*IF(S5="J",1,IF(S5="N",0,0.5)))/19,0)))</f>
        <v/>
      </c>
      <c r="G5" s="10" t="n"/>
      <c r="H5" s="8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>
        <f>IF(A5="","",IF(D5="","?",IF(D5&lt;=1250000,"J","N")))</f>
        <v/>
      </c>
      <c r="S5" s="10">
        <f>IF(A5="","",IF(E5="","?",IF(AND(E5&gt;=90,E5&lt;=115),"J","N")))</f>
        <v/>
      </c>
    </row>
    <row r="6">
      <c r="A6" s="8" t="n"/>
      <c r="B6" s="8" t="n"/>
      <c r="C6" s="8" t="n"/>
      <c r="D6" s="9" t="n"/>
      <c r="E6" s="10" t="n"/>
      <c r="F6" s="10">
        <f>IF(A6="","",IF(OR(C6="Etagenwohnung",I6="N"),0,ROUND(100*(3*IF(J6="J",1,IF(J6="N",0,0.5))+3*IF(K6="J",1,IF(K6="N",0,0.5))+2*IF(L6="J",1,IF(L6="N",0,0.5))+2*IF(M6="J",1,IF(M6="N",0,0.5))+1*IF(N6="J",1,IF(N6="N",0,0.5))+1*IF(O6="J",1,IF(O6="N",0,0.5))+1*IF(P6="J",1,IF(P6="N",0,0.5))+1*IF(Q6="J",1,IF(Q6="N",0,0.5))+2*IF(R6="J",1,IF(R6="N",0,0.5))+3*IF(S6="J",1,IF(S6="N",0,0.5)))/19,0)))</f>
        <v/>
      </c>
      <c r="G6" s="10" t="n"/>
      <c r="H6" s="8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>
        <f>IF(A6="","",IF(D6="","?",IF(D6&lt;=1250000,"J","N")))</f>
        <v/>
      </c>
      <c r="S6" s="10">
        <f>IF(A6="","",IF(E6="","?",IF(AND(E6&gt;=90,E6&lt;=115),"J","N")))</f>
        <v/>
      </c>
    </row>
    <row r="7">
      <c r="A7" s="8" t="n"/>
      <c r="B7" s="8" t="n"/>
      <c r="C7" s="8" t="n"/>
      <c r="D7" s="9" t="n"/>
      <c r="E7" s="10" t="n"/>
      <c r="F7" s="10">
        <f>IF(A7="","",IF(OR(C7="Etagenwohnung",I7="N"),0,ROUND(100*(3*IF(J7="J",1,IF(J7="N",0,0.5))+3*IF(K7="J",1,IF(K7="N",0,0.5))+2*IF(L7="J",1,IF(L7="N",0,0.5))+2*IF(M7="J",1,IF(M7="N",0,0.5))+1*IF(N7="J",1,IF(N7="N",0,0.5))+1*IF(O7="J",1,IF(O7="N",0,0.5))+1*IF(P7="J",1,IF(P7="N",0,0.5))+1*IF(Q7="J",1,IF(Q7="N",0,0.5))+2*IF(R7="J",1,IF(R7="N",0,0.5))+3*IF(S7="J",1,IF(S7="N",0,0.5)))/19,0)))</f>
        <v/>
      </c>
      <c r="G7" s="10" t="n"/>
      <c r="H7" s="8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>
        <f>IF(A7="","",IF(D7="","?",IF(D7&lt;=1250000,"J","N")))</f>
        <v/>
      </c>
      <c r="S7" s="10">
        <f>IF(A7="","",IF(E7="","?",IF(AND(E7&gt;=90,E7&lt;=115),"J","N")))</f>
        <v/>
      </c>
    </row>
    <row r="8">
      <c r="A8" s="8" t="n"/>
      <c r="B8" s="8" t="n"/>
      <c r="C8" s="8" t="n"/>
      <c r="D8" s="9" t="n"/>
      <c r="E8" s="10" t="n"/>
      <c r="F8" s="10">
        <f>IF(A8="","",IF(OR(C8="Etagenwohnung",I8="N"),0,ROUND(100*(3*IF(J8="J",1,IF(J8="N",0,0.5))+3*IF(K8="J",1,IF(K8="N",0,0.5))+2*IF(L8="J",1,IF(L8="N",0,0.5))+2*IF(M8="J",1,IF(M8="N",0,0.5))+1*IF(N8="J",1,IF(N8="N",0,0.5))+1*IF(O8="J",1,IF(O8="N",0,0.5))+1*IF(P8="J",1,IF(P8="N",0,0.5))+1*IF(Q8="J",1,IF(Q8="N",0,0.5))+2*IF(R8="J",1,IF(R8="N",0,0.5))+3*IF(S8="J",1,IF(S8="N",0,0.5)))/19,0)))</f>
        <v/>
      </c>
      <c r="G8" s="10" t="n"/>
      <c r="H8" s="8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>
        <f>IF(A8="","",IF(D8="","?",IF(D8&lt;=1250000,"J","N")))</f>
        <v/>
      </c>
      <c r="S8" s="10">
        <f>IF(A8="","",IF(E8="","?",IF(AND(E8&gt;=90,E8&lt;=115),"J","N")))</f>
        <v/>
      </c>
    </row>
    <row r="9">
      <c r="A9" s="8" t="n"/>
      <c r="B9" s="8" t="n"/>
      <c r="C9" s="8" t="n"/>
      <c r="D9" s="9" t="n"/>
      <c r="E9" s="10" t="n"/>
      <c r="F9" s="10">
        <f>IF(A9="","",IF(OR(C9="Etagenwohnung",I9="N"),0,ROUND(100*(3*IF(J9="J",1,IF(J9="N",0,0.5))+3*IF(K9="J",1,IF(K9="N",0,0.5))+2*IF(L9="J",1,IF(L9="N",0,0.5))+2*IF(M9="J",1,IF(M9="N",0,0.5))+1*IF(N9="J",1,IF(N9="N",0,0.5))+1*IF(O9="J",1,IF(O9="N",0,0.5))+1*IF(P9="J",1,IF(P9="N",0,0.5))+1*IF(Q9="J",1,IF(Q9="N",0,0.5))+2*IF(R9="J",1,IF(R9="N",0,0.5))+3*IF(S9="J",1,IF(S9="N",0,0.5)))/19,0)))</f>
        <v/>
      </c>
      <c r="G9" s="10" t="n"/>
      <c r="H9" s="8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>
        <f>IF(A9="","",IF(D9="","?",IF(D9&lt;=1250000,"J","N")))</f>
        <v/>
      </c>
      <c r="S9" s="10">
        <f>IF(A9="","",IF(E9="","?",IF(AND(E9&gt;=90,E9&lt;=115),"J","N")))</f>
        <v/>
      </c>
    </row>
    <row r="10">
      <c r="A10" s="8" t="n"/>
      <c r="B10" s="8" t="n"/>
      <c r="C10" s="8" t="n"/>
      <c r="D10" s="9" t="n"/>
      <c r="E10" s="10" t="n"/>
      <c r="F10" s="10">
        <f>IF(A10="","",IF(OR(C10="Etagenwohnung",I10="N"),0,ROUND(100*(3*IF(J10="J",1,IF(J10="N",0,0.5))+3*IF(K10="J",1,IF(K10="N",0,0.5))+2*IF(L10="J",1,IF(L10="N",0,0.5))+2*IF(M10="J",1,IF(M10="N",0,0.5))+1*IF(N10="J",1,IF(N10="N",0,0.5))+1*IF(O10="J",1,IF(O10="N",0,0.5))+1*IF(P10="J",1,IF(P10="N",0,0.5))+1*IF(Q10="J",1,IF(Q10="N",0,0.5))+2*IF(R10="J",1,IF(R10="N",0,0.5))+3*IF(S10="J",1,IF(S10="N",0,0.5)))/19,0)))</f>
        <v/>
      </c>
      <c r="G10" s="10" t="n"/>
      <c r="H10" s="8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>
        <f>IF(A10="","",IF(D10="","?",IF(D10&lt;=1250000,"J","N")))</f>
        <v/>
      </c>
      <c r="S10" s="10">
        <f>IF(A10="","",IF(E10="","?",IF(AND(E10&gt;=90,E10&lt;=115),"J","N")))</f>
        <v/>
      </c>
    </row>
    <row r="11">
      <c r="A11" s="8" t="n"/>
      <c r="B11" s="8" t="n"/>
      <c r="C11" s="8" t="n"/>
      <c r="D11" s="9" t="n"/>
      <c r="E11" s="10" t="n"/>
      <c r="F11" s="10">
        <f>IF(A11="","",IF(OR(C11="Etagenwohnung",I11="N"),0,ROUND(100*(3*IF(J11="J",1,IF(J11="N",0,0.5))+3*IF(K11="J",1,IF(K11="N",0,0.5))+2*IF(L11="J",1,IF(L11="N",0,0.5))+2*IF(M11="J",1,IF(M11="N",0,0.5))+1*IF(N11="J",1,IF(N11="N",0,0.5))+1*IF(O11="J",1,IF(O11="N",0,0.5))+1*IF(P11="J",1,IF(P11="N",0,0.5))+1*IF(Q11="J",1,IF(Q11="N",0,0.5))+2*IF(R11="J",1,IF(R11="N",0,0.5))+3*IF(S11="J",1,IF(S11="N",0,0.5)))/19,0)))</f>
        <v/>
      </c>
      <c r="G11" s="10" t="n"/>
      <c r="H11" s="8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>
        <f>IF(A11="","",IF(D11="","?",IF(D11&lt;=1250000,"J","N")))</f>
        <v/>
      </c>
      <c r="S11" s="10">
        <f>IF(A11="","",IF(E11="","?",IF(AND(E11&gt;=90,E11&lt;=115),"J","N")))</f>
        <v/>
      </c>
    </row>
    <row r="12">
      <c r="A12" s="8" t="n"/>
      <c r="B12" s="8" t="n"/>
      <c r="C12" s="8" t="n"/>
      <c r="D12" s="9" t="n"/>
      <c r="E12" s="10" t="n"/>
      <c r="F12" s="10">
        <f>IF(A12="","",IF(OR(C12="Etagenwohnung",I12="N"),0,ROUND(100*(3*IF(J12="J",1,IF(J12="N",0,0.5))+3*IF(K12="J",1,IF(K12="N",0,0.5))+2*IF(L12="J",1,IF(L12="N",0,0.5))+2*IF(M12="J",1,IF(M12="N",0,0.5))+1*IF(N12="J",1,IF(N12="N",0,0.5))+1*IF(O12="J",1,IF(O12="N",0,0.5))+1*IF(P12="J",1,IF(P12="N",0,0.5))+1*IF(Q12="J",1,IF(Q12="N",0,0.5))+2*IF(R12="J",1,IF(R12="N",0,0.5))+3*IF(S12="J",1,IF(S12="N",0,0.5)))/19,0)))</f>
        <v/>
      </c>
      <c r="G12" s="10" t="n"/>
      <c r="H12" s="8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>
        <f>IF(A12="","",IF(D12="","?",IF(D12&lt;=1250000,"J","N")))</f>
        <v/>
      </c>
      <c r="S12" s="10">
        <f>IF(A12="","",IF(E12="","?",IF(AND(E12&gt;=90,E12&lt;=115),"J","N")))</f>
        <v/>
      </c>
    </row>
    <row r="13">
      <c r="A13" s="8" t="n"/>
      <c r="B13" s="8" t="n"/>
      <c r="C13" s="8" t="n"/>
      <c r="D13" s="9" t="n"/>
      <c r="E13" s="10" t="n"/>
      <c r="F13" s="10">
        <f>IF(A13="","",IF(OR(C13="Etagenwohnung",I13="N"),0,ROUND(100*(3*IF(J13="J",1,IF(J13="N",0,0.5))+3*IF(K13="J",1,IF(K13="N",0,0.5))+2*IF(L13="J",1,IF(L13="N",0,0.5))+2*IF(M13="J",1,IF(M13="N",0,0.5))+1*IF(N13="J",1,IF(N13="N",0,0.5))+1*IF(O13="J",1,IF(O13="N",0,0.5))+1*IF(P13="J",1,IF(P13="N",0,0.5))+1*IF(Q13="J",1,IF(Q13="N",0,0.5))+2*IF(R13="J",1,IF(R13="N",0,0.5))+3*IF(S13="J",1,IF(S13="N",0,0.5)))/19,0)))</f>
        <v/>
      </c>
      <c r="G13" s="10" t="n"/>
      <c r="H13" s="8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>
        <f>IF(A13="","",IF(D13="","?",IF(D13&lt;=1250000,"J","N")))</f>
        <v/>
      </c>
      <c r="S13" s="10">
        <f>IF(A13="","",IF(E13="","?",IF(AND(E13&gt;=90,E13&lt;=115),"J","N")))</f>
        <v/>
      </c>
    </row>
    <row r="14">
      <c r="A14" s="8" t="n"/>
      <c r="B14" s="8" t="n"/>
      <c r="C14" s="8" t="n"/>
      <c r="D14" s="9" t="n"/>
      <c r="E14" s="10" t="n"/>
      <c r="F14" s="10">
        <f>IF(A14="","",IF(OR(C14="Etagenwohnung",I14="N"),0,ROUND(100*(3*IF(J14="J",1,IF(J14="N",0,0.5))+3*IF(K14="J",1,IF(K14="N",0,0.5))+2*IF(L14="J",1,IF(L14="N",0,0.5))+2*IF(M14="J",1,IF(M14="N",0,0.5))+1*IF(N14="J",1,IF(N14="N",0,0.5))+1*IF(O14="J",1,IF(O14="N",0,0.5))+1*IF(P14="J",1,IF(P14="N",0,0.5))+1*IF(Q14="J",1,IF(Q14="N",0,0.5))+2*IF(R14="J",1,IF(R14="N",0,0.5))+3*IF(S14="J",1,IF(S14="N",0,0.5)))/19,0)))</f>
        <v/>
      </c>
      <c r="G14" s="10" t="n"/>
      <c r="H14" s="8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>
        <f>IF(A14="","",IF(D14="","?",IF(D14&lt;=1250000,"J","N")))</f>
        <v/>
      </c>
      <c r="S14" s="10">
        <f>IF(A14="","",IF(E14="","?",IF(AND(E14&gt;=90,E14&lt;=115),"J","N")))</f>
        <v/>
      </c>
    </row>
    <row r="15">
      <c r="A15" s="8" t="n"/>
      <c r="B15" s="8" t="n"/>
      <c r="C15" s="8" t="n"/>
      <c r="D15" s="9" t="n"/>
      <c r="E15" s="10" t="n"/>
      <c r="F15" s="10">
        <f>IF(A15="","",IF(OR(C15="Etagenwohnung",I15="N"),0,ROUND(100*(3*IF(J15="J",1,IF(J15="N",0,0.5))+3*IF(K15="J",1,IF(K15="N",0,0.5))+2*IF(L15="J",1,IF(L15="N",0,0.5))+2*IF(M15="J",1,IF(M15="N",0,0.5))+1*IF(N15="J",1,IF(N15="N",0,0.5))+1*IF(O15="J",1,IF(O15="N",0,0.5))+1*IF(P15="J",1,IF(P15="N",0,0.5))+1*IF(Q15="J",1,IF(Q15="N",0,0.5))+2*IF(R15="J",1,IF(R15="N",0,0.5))+3*IF(S15="J",1,IF(S15="N",0,0.5)))/19,0)))</f>
        <v/>
      </c>
      <c r="G15" s="10" t="n"/>
      <c r="H15" s="8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>
        <f>IF(A15="","",IF(D15="","?",IF(D15&lt;=1250000,"J","N")))</f>
        <v/>
      </c>
      <c r="S15" s="10">
        <f>IF(A15="","",IF(E15="","?",IF(AND(E15&gt;=90,E15&lt;=115),"J","N")))</f>
        <v/>
      </c>
    </row>
    <row r="16">
      <c r="A16" s="8" t="n"/>
      <c r="B16" s="8" t="n"/>
      <c r="C16" s="8" t="n"/>
      <c r="D16" s="9" t="n"/>
      <c r="E16" s="10" t="n"/>
      <c r="F16" s="10">
        <f>IF(A16="","",IF(OR(C16="Etagenwohnung",I16="N"),0,ROUND(100*(3*IF(J16="J",1,IF(J16="N",0,0.5))+3*IF(K16="J",1,IF(K16="N",0,0.5))+2*IF(L16="J",1,IF(L16="N",0,0.5))+2*IF(M16="J",1,IF(M16="N",0,0.5))+1*IF(N16="J",1,IF(N16="N",0,0.5))+1*IF(O16="J",1,IF(O16="N",0,0.5))+1*IF(P16="J",1,IF(P16="N",0,0.5))+1*IF(Q16="J",1,IF(Q16="N",0,0.5))+2*IF(R16="J",1,IF(R16="N",0,0.5))+3*IF(S16="J",1,IF(S16="N",0,0.5)))/19,0)))</f>
        <v/>
      </c>
      <c r="G16" s="10" t="n"/>
      <c r="H16" s="8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>
        <f>IF(A16="","",IF(D16="","?",IF(D16&lt;=1250000,"J","N")))</f>
        <v/>
      </c>
      <c r="S16" s="10">
        <f>IF(A16="","",IF(E16="","?",IF(AND(E16&gt;=90,E16&lt;=115),"J","N")))</f>
        <v/>
      </c>
    </row>
    <row r="17">
      <c r="A17" s="8" t="n"/>
      <c r="B17" s="8" t="n"/>
      <c r="C17" s="8" t="n"/>
      <c r="D17" s="9" t="n"/>
      <c r="E17" s="10" t="n"/>
      <c r="F17" s="10">
        <f>IF(A17="","",IF(OR(C17="Etagenwohnung",I17="N"),0,ROUND(100*(3*IF(J17="J",1,IF(J17="N",0,0.5))+3*IF(K17="J",1,IF(K17="N",0,0.5))+2*IF(L17="J",1,IF(L17="N",0,0.5))+2*IF(M17="J",1,IF(M17="N",0,0.5))+1*IF(N17="J",1,IF(N17="N",0,0.5))+1*IF(O17="J",1,IF(O17="N",0,0.5))+1*IF(P17="J",1,IF(P17="N",0,0.5))+1*IF(Q17="J",1,IF(Q17="N",0,0.5))+2*IF(R17="J",1,IF(R17="N",0,0.5))+3*IF(S17="J",1,IF(S17="N",0,0.5)))/19,0)))</f>
        <v/>
      </c>
      <c r="G17" s="10" t="n"/>
      <c r="H17" s="8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>
        <f>IF(A17="","",IF(D17="","?",IF(D17&lt;=1250000,"J","N")))</f>
        <v/>
      </c>
      <c r="S17" s="10">
        <f>IF(A17="","",IF(E17="","?",IF(AND(E17&gt;=90,E17&lt;=115),"J","N")))</f>
        <v/>
      </c>
    </row>
    <row r="18">
      <c r="A18" s="8" t="n"/>
      <c r="B18" s="8" t="n"/>
      <c r="C18" s="8" t="n"/>
      <c r="D18" s="9" t="n"/>
      <c r="E18" s="10" t="n"/>
      <c r="F18" s="10">
        <f>IF(A18="","",IF(OR(C18="Etagenwohnung",I18="N"),0,ROUND(100*(3*IF(J18="J",1,IF(J18="N",0,0.5))+3*IF(K18="J",1,IF(K18="N",0,0.5))+2*IF(L18="J",1,IF(L18="N",0,0.5))+2*IF(M18="J",1,IF(M18="N",0,0.5))+1*IF(N18="J",1,IF(N18="N",0,0.5))+1*IF(O18="J",1,IF(O18="N",0,0.5))+1*IF(P18="J",1,IF(P18="N",0,0.5))+1*IF(Q18="J",1,IF(Q18="N",0,0.5))+2*IF(R18="J",1,IF(R18="N",0,0.5))+3*IF(S18="J",1,IF(S18="N",0,0.5)))/19,0)))</f>
        <v/>
      </c>
      <c r="G18" s="10" t="n"/>
      <c r="H18" s="8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>
        <f>IF(A18="","",IF(D18="","?",IF(D18&lt;=1250000,"J","N")))</f>
        <v/>
      </c>
      <c r="S18" s="10">
        <f>IF(A18="","",IF(E18="","?",IF(AND(E18&gt;=90,E18&lt;=115),"J","N")))</f>
        <v/>
      </c>
    </row>
    <row r="19">
      <c r="A19" s="8" t="n"/>
      <c r="B19" s="8" t="n"/>
      <c r="C19" s="8" t="n"/>
      <c r="D19" s="9" t="n"/>
      <c r="E19" s="10" t="n"/>
      <c r="F19" s="10">
        <f>IF(A19="","",IF(OR(C19="Etagenwohnung",I19="N"),0,ROUND(100*(3*IF(J19="J",1,IF(J19="N",0,0.5))+3*IF(K19="J",1,IF(K19="N",0,0.5))+2*IF(L19="J",1,IF(L19="N",0,0.5))+2*IF(M19="J",1,IF(M19="N",0,0.5))+1*IF(N19="J",1,IF(N19="N",0,0.5))+1*IF(O19="J",1,IF(O19="N",0,0.5))+1*IF(P19="J",1,IF(P19="N",0,0.5))+1*IF(Q19="J",1,IF(Q19="N",0,0.5))+2*IF(R19="J",1,IF(R19="N",0,0.5))+3*IF(S19="J",1,IF(S19="N",0,0.5)))/19,0)))</f>
        <v/>
      </c>
      <c r="G19" s="10" t="n"/>
      <c r="H19" s="8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>
        <f>IF(A19="","",IF(D19="","?",IF(D19&lt;=1250000,"J","N")))</f>
        <v/>
      </c>
      <c r="S19" s="10">
        <f>IF(A19="","",IF(E19="","?",IF(AND(E19&gt;=90,E19&lt;=115),"J","N")))</f>
        <v/>
      </c>
    </row>
    <row r="20">
      <c r="A20" s="8" t="n"/>
      <c r="B20" s="8" t="n"/>
      <c r="C20" s="8" t="n"/>
      <c r="D20" s="9" t="n"/>
      <c r="E20" s="10" t="n"/>
      <c r="F20" s="10">
        <f>IF(A20="","",IF(OR(C20="Etagenwohnung",I20="N"),0,ROUND(100*(3*IF(J20="J",1,IF(J20="N",0,0.5))+3*IF(K20="J",1,IF(K20="N",0,0.5))+2*IF(L20="J",1,IF(L20="N",0,0.5))+2*IF(M20="J",1,IF(M20="N",0,0.5))+1*IF(N20="J",1,IF(N20="N",0,0.5))+1*IF(O20="J",1,IF(O20="N",0,0.5))+1*IF(P20="J",1,IF(P20="N",0,0.5))+1*IF(Q20="J",1,IF(Q20="N",0,0.5))+2*IF(R20="J",1,IF(R20="N",0,0.5))+3*IF(S20="J",1,IF(S20="N",0,0.5)))/19,0)))</f>
        <v/>
      </c>
      <c r="G20" s="10" t="n"/>
      <c r="H20" s="8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>
        <f>IF(A20="","",IF(D20="","?",IF(D20&lt;=1250000,"J","N")))</f>
        <v/>
      </c>
      <c r="S20" s="10">
        <f>IF(A20="","",IF(E20="","?",IF(AND(E20&gt;=90,E20&lt;=115),"J","N")))</f>
        <v/>
      </c>
    </row>
    <row r="21">
      <c r="A21" s="8" t="n"/>
      <c r="B21" s="8" t="n"/>
      <c r="C21" s="8" t="n"/>
      <c r="D21" s="9" t="n"/>
      <c r="E21" s="10" t="n"/>
      <c r="F21" s="10">
        <f>IF(A21="","",IF(OR(C21="Etagenwohnung",I21="N"),0,ROUND(100*(3*IF(J21="J",1,IF(J21="N",0,0.5))+3*IF(K21="J",1,IF(K21="N",0,0.5))+2*IF(L21="J",1,IF(L21="N",0,0.5))+2*IF(M21="J",1,IF(M21="N",0,0.5))+1*IF(N21="J",1,IF(N21="N",0,0.5))+1*IF(O21="J",1,IF(O21="N",0,0.5))+1*IF(P21="J",1,IF(P21="N",0,0.5))+1*IF(Q21="J",1,IF(Q21="N",0,0.5))+2*IF(R21="J",1,IF(R21="N",0,0.5))+3*IF(S21="J",1,IF(S21="N",0,0.5)))/19,0)))</f>
        <v/>
      </c>
      <c r="G21" s="10" t="n"/>
      <c r="H21" s="8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>
        <f>IF(A21="","",IF(D21="","?",IF(D21&lt;=1250000,"J","N")))</f>
        <v/>
      </c>
      <c r="S21" s="10">
        <f>IF(A21="","",IF(E21="","?",IF(AND(E21&gt;=90,E21&lt;=115),"J","N")))</f>
        <v/>
      </c>
    </row>
    <row r="22">
      <c r="A22" s="8" t="n"/>
      <c r="B22" s="8" t="n"/>
      <c r="C22" s="8" t="n"/>
      <c r="D22" s="9" t="n"/>
      <c r="E22" s="10" t="n"/>
      <c r="F22" s="10">
        <f>IF(A22="","",IF(OR(C22="Etagenwohnung",I22="N"),0,ROUND(100*(3*IF(J22="J",1,IF(J22="N",0,0.5))+3*IF(K22="J",1,IF(K22="N",0,0.5))+2*IF(L22="J",1,IF(L22="N",0,0.5))+2*IF(M22="J",1,IF(M22="N",0,0.5))+1*IF(N22="J",1,IF(N22="N",0,0.5))+1*IF(O22="J",1,IF(O22="N",0,0.5))+1*IF(P22="J",1,IF(P22="N",0,0.5))+1*IF(Q22="J",1,IF(Q22="N",0,0.5))+2*IF(R22="J",1,IF(R22="N",0,0.5))+3*IF(S22="J",1,IF(S22="N",0,0.5)))/19,0)))</f>
        <v/>
      </c>
      <c r="G22" s="10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>
        <f>IF(A22="","",IF(D22="","?",IF(D22&lt;=1250000,"J","N")))</f>
        <v/>
      </c>
      <c r="S22" s="10">
        <f>IF(A22="","",IF(E22="","?",IF(AND(E22&gt;=90,E22&lt;=115),"J","N")))</f>
        <v/>
      </c>
    </row>
    <row r="23">
      <c r="A23" s="8" t="n"/>
      <c r="B23" s="8" t="n"/>
      <c r="C23" s="8" t="n"/>
      <c r="D23" s="9" t="n"/>
      <c r="E23" s="10" t="n"/>
      <c r="F23" s="10">
        <f>IF(A23="","",IF(OR(C23="Etagenwohnung",I23="N"),0,ROUND(100*(3*IF(J23="J",1,IF(J23="N",0,0.5))+3*IF(K23="J",1,IF(K23="N",0,0.5))+2*IF(L23="J",1,IF(L23="N",0,0.5))+2*IF(M23="J",1,IF(M23="N",0,0.5))+1*IF(N23="J",1,IF(N23="N",0,0.5))+1*IF(O23="J",1,IF(O23="N",0,0.5))+1*IF(P23="J",1,IF(P23="N",0,0.5))+1*IF(Q23="J",1,IF(Q23="N",0,0.5))+2*IF(R23="J",1,IF(R23="N",0,0.5))+3*IF(S23="J",1,IF(S23="N",0,0.5)))/19,0)))</f>
        <v/>
      </c>
      <c r="G23" s="10" t="n"/>
      <c r="H23" s="8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>
        <f>IF(A23="","",IF(D23="","?",IF(D23&lt;=1250000,"J","N")))</f>
        <v/>
      </c>
      <c r="S23" s="10">
        <f>IF(A23="","",IF(E23="","?",IF(AND(E23&gt;=90,E23&lt;=115),"J","N")))</f>
        <v/>
      </c>
    </row>
    <row r="24">
      <c r="A24" s="8" t="n"/>
      <c r="B24" s="8" t="n"/>
      <c r="C24" s="8" t="n"/>
      <c r="D24" s="9" t="n"/>
      <c r="E24" s="10" t="n"/>
      <c r="F24" s="10">
        <f>IF(A24="","",IF(OR(C24="Etagenwohnung",I24="N"),0,ROUND(100*(3*IF(J24="J",1,IF(J24="N",0,0.5))+3*IF(K24="J",1,IF(K24="N",0,0.5))+2*IF(L24="J",1,IF(L24="N",0,0.5))+2*IF(M24="J",1,IF(M24="N",0,0.5))+1*IF(N24="J",1,IF(N24="N",0,0.5))+1*IF(O24="J",1,IF(O24="N",0,0.5))+1*IF(P24="J",1,IF(P24="N",0,0.5))+1*IF(Q24="J",1,IF(Q24="N",0,0.5))+2*IF(R24="J",1,IF(R24="N",0,0.5))+3*IF(S24="J",1,IF(S24="N",0,0.5)))/19,0)))</f>
        <v/>
      </c>
      <c r="G24" s="10" t="n"/>
      <c r="H24" s="8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>
        <f>IF(A24="","",IF(D24="","?",IF(D24&lt;=1250000,"J","N")))</f>
        <v/>
      </c>
      <c r="S24" s="10">
        <f>IF(A24="","",IF(E24="","?",IF(AND(E24&gt;=90,E24&lt;=115),"J","N")))</f>
        <v/>
      </c>
    </row>
    <row r="25">
      <c r="A25" s="8" t="n"/>
      <c r="B25" s="8" t="n"/>
      <c r="C25" s="8" t="n"/>
      <c r="D25" s="9" t="n"/>
      <c r="E25" s="10" t="n"/>
      <c r="F25" s="10">
        <f>IF(A25="","",IF(OR(C25="Etagenwohnung",I25="N"),0,ROUND(100*(3*IF(J25="J",1,IF(J25="N",0,0.5))+3*IF(K25="J",1,IF(K25="N",0,0.5))+2*IF(L25="J",1,IF(L25="N",0,0.5))+2*IF(M25="J",1,IF(M25="N",0,0.5))+1*IF(N25="J",1,IF(N25="N",0,0.5))+1*IF(O25="J",1,IF(O25="N",0,0.5))+1*IF(P25="J",1,IF(P25="N",0,0.5))+1*IF(Q25="J",1,IF(Q25="N",0,0.5))+2*IF(R25="J",1,IF(R25="N",0,0.5))+3*IF(S25="J",1,IF(S25="N",0,0.5)))/19,0)))</f>
        <v/>
      </c>
      <c r="G25" s="10" t="n"/>
      <c r="H25" s="8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>
        <f>IF(A25="","",IF(D25="","?",IF(D25&lt;=1250000,"J","N")))</f>
        <v/>
      </c>
      <c r="S25" s="10">
        <f>IF(A25="","",IF(E25="","?",IF(AND(E25&gt;=90,E25&lt;=115),"J","N")))</f>
        <v/>
      </c>
    </row>
    <row r="26">
      <c r="A26" s="8" t="n"/>
      <c r="B26" s="8" t="n"/>
      <c r="C26" s="8" t="n"/>
      <c r="D26" s="9" t="n"/>
      <c r="E26" s="10" t="n"/>
      <c r="F26" s="10">
        <f>IF(A26="","",IF(OR(C26="Etagenwohnung",I26="N"),0,ROUND(100*(3*IF(J26="J",1,IF(J26="N",0,0.5))+3*IF(K26="J",1,IF(K26="N",0,0.5))+2*IF(L26="J",1,IF(L26="N",0,0.5))+2*IF(M26="J",1,IF(M26="N",0,0.5))+1*IF(N26="J",1,IF(N26="N",0,0.5))+1*IF(O26="J",1,IF(O26="N",0,0.5))+1*IF(P26="J",1,IF(P26="N",0,0.5))+1*IF(Q26="J",1,IF(Q26="N",0,0.5))+2*IF(R26="J",1,IF(R26="N",0,0.5))+3*IF(S26="J",1,IF(S26="N",0,0.5)))/19,0)))</f>
        <v/>
      </c>
      <c r="G26" s="10" t="n"/>
      <c r="H26" s="8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>
        <f>IF(A26="","",IF(D26="","?",IF(D26&lt;=1250000,"J","N")))</f>
        <v/>
      </c>
      <c r="S26" s="10">
        <f>IF(A26="","",IF(E26="","?",IF(AND(E26&gt;=90,E26&lt;=115),"J","N")))</f>
        <v/>
      </c>
    </row>
    <row r="27">
      <c r="A27" s="8" t="n"/>
      <c r="B27" s="8" t="n"/>
      <c r="C27" s="8" t="n"/>
      <c r="D27" s="9" t="n"/>
      <c r="E27" s="10" t="n"/>
      <c r="F27" s="10">
        <f>IF(A27="","",IF(OR(C27="Etagenwohnung",I27="N"),0,ROUND(100*(3*IF(J27="J",1,IF(J27="N",0,0.5))+3*IF(K27="J",1,IF(K27="N",0,0.5))+2*IF(L27="J",1,IF(L27="N",0,0.5))+2*IF(M27="J",1,IF(M27="N",0,0.5))+1*IF(N27="J",1,IF(N27="N",0,0.5))+1*IF(O27="J",1,IF(O27="N",0,0.5))+1*IF(P27="J",1,IF(P27="N",0,0.5))+1*IF(Q27="J",1,IF(Q27="N",0,0.5))+2*IF(R27="J",1,IF(R27="N",0,0.5))+3*IF(S27="J",1,IF(S27="N",0,0.5)))/19,0)))</f>
        <v/>
      </c>
      <c r="G27" s="10" t="n"/>
      <c r="H27" s="8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>
        <f>IF(A27="","",IF(D27="","?",IF(D27&lt;=1250000,"J","N")))</f>
        <v/>
      </c>
      <c r="S27" s="10">
        <f>IF(A27="","",IF(E27="","?",IF(AND(E27&gt;=90,E27&lt;=115),"J","N")))</f>
        <v/>
      </c>
    </row>
    <row r="28">
      <c r="A28" s="8" t="n"/>
      <c r="B28" s="8" t="n"/>
      <c r="C28" s="8" t="n"/>
      <c r="D28" s="9" t="n"/>
      <c r="E28" s="10" t="n"/>
      <c r="F28" s="10">
        <f>IF(A28="","",IF(OR(C28="Etagenwohnung",I28="N"),0,ROUND(100*(3*IF(J28="J",1,IF(J28="N",0,0.5))+3*IF(K28="J",1,IF(K28="N",0,0.5))+2*IF(L28="J",1,IF(L28="N",0,0.5))+2*IF(M28="J",1,IF(M28="N",0,0.5))+1*IF(N28="J",1,IF(N28="N",0,0.5))+1*IF(O28="J",1,IF(O28="N",0,0.5))+1*IF(P28="J",1,IF(P28="N",0,0.5))+1*IF(Q28="J",1,IF(Q28="N",0,0.5))+2*IF(R28="J",1,IF(R28="N",0,0.5))+3*IF(S28="J",1,IF(S28="N",0,0.5)))/19,0)))</f>
        <v/>
      </c>
      <c r="G28" s="10" t="n"/>
      <c r="H28" s="8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>
        <f>IF(A28="","",IF(D28="","?",IF(D28&lt;=1250000,"J","N")))</f>
        <v/>
      </c>
      <c r="S28" s="10">
        <f>IF(A28="","",IF(E28="","?",IF(AND(E28&gt;=90,E28&lt;=115),"J","N")))</f>
        <v/>
      </c>
    </row>
    <row r="29">
      <c r="A29" s="8" t="n"/>
      <c r="B29" s="8" t="n"/>
      <c r="C29" s="8" t="n"/>
      <c r="D29" s="9" t="n"/>
      <c r="E29" s="10" t="n"/>
      <c r="F29" s="10">
        <f>IF(A29="","",IF(OR(C29="Etagenwohnung",I29="N"),0,ROUND(100*(3*IF(J29="J",1,IF(J29="N",0,0.5))+3*IF(K29="J",1,IF(K29="N",0,0.5))+2*IF(L29="J",1,IF(L29="N",0,0.5))+2*IF(M29="J",1,IF(M29="N",0,0.5))+1*IF(N29="J",1,IF(N29="N",0,0.5))+1*IF(O29="J",1,IF(O29="N",0,0.5))+1*IF(P29="J",1,IF(P29="N",0,0.5))+1*IF(Q29="J",1,IF(Q29="N",0,0.5))+2*IF(R29="J",1,IF(R29="N",0,0.5))+3*IF(S29="J",1,IF(S29="N",0,0.5)))/19,0)))</f>
        <v/>
      </c>
      <c r="G29" s="10" t="n"/>
      <c r="H29" s="8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>
        <f>IF(A29="","",IF(D29="","?",IF(D29&lt;=1250000,"J","N")))</f>
        <v/>
      </c>
      <c r="S29" s="10">
        <f>IF(A29="","",IF(E29="","?",IF(AND(E29&gt;=90,E29&lt;=115),"J","N")))</f>
        <v/>
      </c>
    </row>
    <row r="30">
      <c r="A30" s="8" t="n"/>
      <c r="B30" s="8" t="n"/>
      <c r="C30" s="8" t="n"/>
      <c r="D30" s="9" t="n"/>
      <c r="E30" s="10" t="n"/>
      <c r="F30" s="10">
        <f>IF(A30="","",IF(OR(C30="Etagenwohnung",I30="N"),0,ROUND(100*(3*IF(J30="J",1,IF(J30="N",0,0.5))+3*IF(K30="J",1,IF(K30="N",0,0.5))+2*IF(L30="J",1,IF(L30="N",0,0.5))+2*IF(M30="J",1,IF(M30="N",0,0.5))+1*IF(N30="J",1,IF(N30="N",0,0.5))+1*IF(O30="J",1,IF(O30="N",0,0.5))+1*IF(P30="J",1,IF(P30="N",0,0.5))+1*IF(Q30="J",1,IF(Q30="N",0,0.5))+2*IF(R30="J",1,IF(R30="N",0,0.5))+3*IF(S30="J",1,IF(S30="N",0,0.5)))/19,0)))</f>
        <v/>
      </c>
      <c r="G30" s="10" t="n"/>
      <c r="H30" s="8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>
        <f>IF(A30="","",IF(D30="","?",IF(D30&lt;=1250000,"J","N")))</f>
        <v/>
      </c>
      <c r="S30" s="10">
        <f>IF(A30="","",IF(E30="","?",IF(AND(E30&gt;=90,E30&lt;=115),"J","N")))</f>
        <v/>
      </c>
    </row>
    <row r="31">
      <c r="A31" s="8" t="n"/>
      <c r="B31" s="8" t="n"/>
      <c r="C31" s="8" t="n"/>
      <c r="D31" s="9" t="n"/>
      <c r="E31" s="10" t="n"/>
      <c r="F31" s="10">
        <f>IF(A31="","",IF(OR(C31="Etagenwohnung",I31="N"),0,ROUND(100*(3*IF(J31="J",1,IF(J31="N",0,0.5))+3*IF(K31="J",1,IF(K31="N",0,0.5))+2*IF(L31="J",1,IF(L31="N",0,0.5))+2*IF(M31="J",1,IF(M31="N",0,0.5))+1*IF(N31="J",1,IF(N31="N",0,0.5))+1*IF(O31="J",1,IF(O31="N",0,0.5))+1*IF(P31="J",1,IF(P31="N",0,0.5))+1*IF(Q31="J",1,IF(Q31="N",0,0.5))+2*IF(R31="J",1,IF(R31="N",0,0.5))+3*IF(S31="J",1,IF(S31="N",0,0.5)))/19,0)))</f>
        <v/>
      </c>
      <c r="G31" s="10" t="n"/>
      <c r="H31" s="8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>
        <f>IF(A31="","",IF(D31="","?",IF(D31&lt;=1250000,"J","N")))</f>
        <v/>
      </c>
      <c r="S31" s="10">
        <f>IF(A31="","",IF(E31="","?",IF(AND(E31&gt;=90,E31&lt;=115),"J","N")))</f>
        <v/>
      </c>
    </row>
    <row r="32">
      <c r="A32" s="8" t="n"/>
      <c r="B32" s="8" t="n"/>
      <c r="C32" s="8" t="n"/>
      <c r="D32" s="9" t="n"/>
      <c r="E32" s="10" t="n"/>
      <c r="F32" s="10">
        <f>IF(A32="","",IF(OR(C32="Etagenwohnung",I32="N"),0,ROUND(100*(3*IF(J32="J",1,IF(J32="N",0,0.5))+3*IF(K32="J",1,IF(K32="N",0,0.5))+2*IF(L32="J",1,IF(L32="N",0,0.5))+2*IF(M32="J",1,IF(M32="N",0,0.5))+1*IF(N32="J",1,IF(N32="N",0,0.5))+1*IF(O32="J",1,IF(O32="N",0,0.5))+1*IF(P32="J",1,IF(P32="N",0,0.5))+1*IF(Q32="J",1,IF(Q32="N",0,0.5))+2*IF(R32="J",1,IF(R32="N",0,0.5))+3*IF(S32="J",1,IF(S32="N",0,0.5)))/19,0)))</f>
        <v/>
      </c>
      <c r="G32" s="10" t="n"/>
      <c r="H32" s="8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>
        <f>IF(A32="","",IF(D32="","?",IF(D32&lt;=1250000,"J","N")))</f>
        <v/>
      </c>
      <c r="S32" s="10">
        <f>IF(A32="","",IF(E32="","?",IF(AND(E32&gt;=90,E32&lt;=115),"J","N")))</f>
        <v/>
      </c>
    </row>
    <row r="33">
      <c r="A33" s="8" t="n"/>
      <c r="B33" s="8" t="n"/>
      <c r="C33" s="8" t="n"/>
      <c r="D33" s="9" t="n"/>
      <c r="E33" s="10" t="n"/>
      <c r="F33" s="10">
        <f>IF(A33="","",IF(OR(C33="Etagenwohnung",I33="N"),0,ROUND(100*(3*IF(J33="J",1,IF(J33="N",0,0.5))+3*IF(K33="J",1,IF(K33="N",0,0.5))+2*IF(L33="J",1,IF(L33="N",0,0.5))+2*IF(M33="J",1,IF(M33="N",0,0.5))+1*IF(N33="J",1,IF(N33="N",0,0.5))+1*IF(O33="J",1,IF(O33="N",0,0.5))+1*IF(P33="J",1,IF(P33="N",0,0.5))+1*IF(Q33="J",1,IF(Q33="N",0,0.5))+2*IF(R33="J",1,IF(R33="N",0,0.5))+3*IF(S33="J",1,IF(S33="N",0,0.5)))/19,0)))</f>
        <v/>
      </c>
      <c r="G33" s="10" t="n"/>
      <c r="H33" s="8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>
        <f>IF(A33="","",IF(D33="","?",IF(D33&lt;=1250000,"J","N")))</f>
        <v/>
      </c>
      <c r="S33" s="10">
        <f>IF(A33="","",IF(E33="","?",IF(AND(E33&gt;=90,E33&lt;=115),"J","N")))</f>
        <v/>
      </c>
    </row>
    <row r="34">
      <c r="A34" s="8" t="n"/>
      <c r="B34" s="8" t="n"/>
      <c r="C34" s="8" t="n"/>
      <c r="D34" s="9" t="n"/>
      <c r="E34" s="10" t="n"/>
      <c r="F34" s="10">
        <f>IF(A34="","",IF(OR(C34="Etagenwohnung",I34="N"),0,ROUND(100*(3*IF(J34="J",1,IF(J34="N",0,0.5))+3*IF(K34="J",1,IF(K34="N",0,0.5))+2*IF(L34="J",1,IF(L34="N",0,0.5))+2*IF(M34="J",1,IF(M34="N",0,0.5))+1*IF(N34="J",1,IF(N34="N",0,0.5))+1*IF(O34="J",1,IF(O34="N",0,0.5))+1*IF(P34="J",1,IF(P34="N",0,0.5))+1*IF(Q34="J",1,IF(Q34="N",0,0.5))+2*IF(R34="J",1,IF(R34="N",0,0.5))+3*IF(S34="J",1,IF(S34="N",0,0.5)))/19,0)))</f>
        <v/>
      </c>
      <c r="G34" s="10" t="n"/>
      <c r="H34" s="8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>
        <f>IF(A34="","",IF(D34="","?",IF(D34&lt;=1250000,"J","N")))</f>
        <v/>
      </c>
      <c r="S34" s="10">
        <f>IF(A34="","",IF(E34="","?",IF(AND(E34&gt;=90,E34&lt;=115),"J","N")))</f>
        <v/>
      </c>
    </row>
    <row r="35">
      <c r="A35" s="8" t="n"/>
      <c r="B35" s="8" t="n"/>
      <c r="C35" s="8" t="n"/>
      <c r="D35" s="9" t="n"/>
      <c r="E35" s="10" t="n"/>
      <c r="F35" s="10">
        <f>IF(A35="","",IF(OR(C35="Etagenwohnung",I35="N"),0,ROUND(100*(3*IF(J35="J",1,IF(J35="N",0,0.5))+3*IF(K35="J",1,IF(K35="N",0,0.5))+2*IF(L35="J",1,IF(L35="N",0,0.5))+2*IF(M35="J",1,IF(M35="N",0,0.5))+1*IF(N35="J",1,IF(N35="N",0,0.5))+1*IF(O35="J",1,IF(O35="N",0,0.5))+1*IF(P35="J",1,IF(P35="N",0,0.5))+1*IF(Q35="J",1,IF(Q35="N",0,0.5))+2*IF(R35="J",1,IF(R35="N",0,0.5))+3*IF(S35="J",1,IF(S35="N",0,0.5)))/19,0)))</f>
        <v/>
      </c>
      <c r="G35" s="10" t="n"/>
      <c r="H35" s="8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>
        <f>IF(A35="","",IF(D35="","?",IF(D35&lt;=1250000,"J","N")))</f>
        <v/>
      </c>
      <c r="S35" s="10">
        <f>IF(A35="","",IF(E35="","?",IF(AND(E35&gt;=90,E35&lt;=115),"J","N")))</f>
        <v/>
      </c>
    </row>
    <row r="36">
      <c r="A36" s="8" t="n"/>
      <c r="B36" s="8" t="n"/>
      <c r="C36" s="8" t="n"/>
      <c r="D36" s="9" t="n"/>
      <c r="E36" s="10" t="n"/>
      <c r="F36" s="10">
        <f>IF(A36="","",IF(OR(C36="Etagenwohnung",I36="N"),0,ROUND(100*(3*IF(J36="J",1,IF(J36="N",0,0.5))+3*IF(K36="J",1,IF(K36="N",0,0.5))+2*IF(L36="J",1,IF(L36="N",0,0.5))+2*IF(M36="J",1,IF(M36="N",0,0.5))+1*IF(N36="J",1,IF(N36="N",0,0.5))+1*IF(O36="J",1,IF(O36="N",0,0.5))+1*IF(P36="J",1,IF(P36="N",0,0.5))+1*IF(Q36="J",1,IF(Q36="N",0,0.5))+2*IF(R36="J",1,IF(R36="N",0,0.5))+3*IF(S36="J",1,IF(S36="N",0,0.5)))/19,0)))</f>
        <v/>
      </c>
      <c r="G36" s="10" t="n"/>
      <c r="H36" s="8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>
        <f>IF(A36="","",IF(D36="","?",IF(D36&lt;=1250000,"J","N")))</f>
        <v/>
      </c>
      <c r="S36" s="10">
        <f>IF(A36="","",IF(E36="","?",IF(AND(E36&gt;=90,E36&lt;=115),"J","N")))</f>
        <v/>
      </c>
    </row>
    <row r="37">
      <c r="A37" s="8" t="n"/>
      <c r="B37" s="8" t="n"/>
      <c r="C37" s="8" t="n"/>
      <c r="D37" s="9" t="n"/>
      <c r="E37" s="10" t="n"/>
      <c r="F37" s="10">
        <f>IF(A37="","",IF(OR(C37="Etagenwohnung",I37="N"),0,ROUND(100*(3*IF(J37="J",1,IF(J37="N",0,0.5))+3*IF(K37="J",1,IF(K37="N",0,0.5))+2*IF(L37="J",1,IF(L37="N",0,0.5))+2*IF(M37="J",1,IF(M37="N",0,0.5))+1*IF(N37="J",1,IF(N37="N",0,0.5))+1*IF(O37="J",1,IF(O37="N",0,0.5))+1*IF(P37="J",1,IF(P37="N",0,0.5))+1*IF(Q37="J",1,IF(Q37="N",0,0.5))+2*IF(R37="J",1,IF(R37="N",0,0.5))+3*IF(S37="J",1,IF(S37="N",0,0.5)))/19,0)))</f>
        <v/>
      </c>
      <c r="G37" s="10" t="n"/>
      <c r="H37" s="8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>
        <f>IF(A37="","",IF(D37="","?",IF(D37&lt;=1250000,"J","N")))</f>
        <v/>
      </c>
      <c r="S37" s="10">
        <f>IF(A37="","",IF(E37="","?",IF(AND(E37&gt;=90,E37&lt;=115),"J","N")))</f>
        <v/>
      </c>
    </row>
    <row r="38">
      <c r="A38" s="8" t="n"/>
      <c r="B38" s="8" t="n"/>
      <c r="C38" s="8" t="n"/>
      <c r="D38" s="9" t="n"/>
      <c r="E38" s="10" t="n"/>
      <c r="F38" s="10">
        <f>IF(A38="","",IF(OR(C38="Etagenwohnung",I38="N"),0,ROUND(100*(3*IF(J38="J",1,IF(J38="N",0,0.5))+3*IF(K38="J",1,IF(K38="N",0,0.5))+2*IF(L38="J",1,IF(L38="N",0,0.5))+2*IF(M38="J",1,IF(M38="N",0,0.5))+1*IF(N38="J",1,IF(N38="N",0,0.5))+1*IF(O38="J",1,IF(O38="N",0,0.5))+1*IF(P38="J",1,IF(P38="N",0,0.5))+1*IF(Q38="J",1,IF(Q38="N",0,0.5))+2*IF(R38="J",1,IF(R38="N",0,0.5))+3*IF(S38="J",1,IF(S38="N",0,0.5)))/19,0)))</f>
        <v/>
      </c>
      <c r="G38" s="10" t="n"/>
      <c r="H38" s="8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>
        <f>IF(A38="","",IF(D38="","?",IF(D38&lt;=1250000,"J","N")))</f>
        <v/>
      </c>
      <c r="S38" s="10">
        <f>IF(A38="","",IF(E38="","?",IF(AND(E38&gt;=90,E38&lt;=115),"J","N")))</f>
        <v/>
      </c>
    </row>
    <row r="39">
      <c r="A39" s="8" t="n"/>
      <c r="B39" s="8" t="n"/>
      <c r="C39" s="8" t="n"/>
      <c r="D39" s="9" t="n"/>
      <c r="E39" s="10" t="n"/>
      <c r="F39" s="10">
        <f>IF(A39="","",IF(OR(C39="Etagenwohnung",I39="N"),0,ROUND(100*(3*IF(J39="J",1,IF(J39="N",0,0.5))+3*IF(K39="J",1,IF(K39="N",0,0.5))+2*IF(L39="J",1,IF(L39="N",0,0.5))+2*IF(M39="J",1,IF(M39="N",0,0.5))+1*IF(N39="J",1,IF(N39="N",0,0.5))+1*IF(O39="J",1,IF(O39="N",0,0.5))+1*IF(P39="J",1,IF(P39="N",0,0.5))+1*IF(Q39="J",1,IF(Q39="N",0,0.5))+2*IF(R39="J",1,IF(R39="N",0,0.5))+3*IF(S39="J",1,IF(S39="N",0,0.5)))/19,0)))</f>
        <v/>
      </c>
      <c r="G39" s="10" t="n"/>
      <c r="H39" s="8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>
        <f>IF(A39="","",IF(D39="","?",IF(D39&lt;=1250000,"J","N")))</f>
        <v/>
      </c>
      <c r="S39" s="10">
        <f>IF(A39="","",IF(E39="","?",IF(AND(E39&gt;=90,E39&lt;=115),"J","N")))</f>
        <v/>
      </c>
    </row>
    <row r="40">
      <c r="A40" s="8" t="n"/>
      <c r="B40" s="8" t="n"/>
      <c r="C40" s="8" t="n"/>
      <c r="D40" s="9" t="n"/>
      <c r="E40" s="10" t="n"/>
      <c r="F40" s="10">
        <f>IF(A40="","",IF(OR(C40="Etagenwohnung",I40="N"),0,ROUND(100*(3*IF(J40="J",1,IF(J40="N",0,0.5))+3*IF(K40="J",1,IF(K40="N",0,0.5))+2*IF(L40="J",1,IF(L40="N",0,0.5))+2*IF(M40="J",1,IF(M40="N",0,0.5))+1*IF(N40="J",1,IF(N40="N",0,0.5))+1*IF(O40="J",1,IF(O40="N",0,0.5))+1*IF(P40="J",1,IF(P40="N",0,0.5))+1*IF(Q40="J",1,IF(Q40="N",0,0.5))+2*IF(R40="J",1,IF(R40="N",0,0.5))+3*IF(S40="J",1,IF(S40="N",0,0.5)))/19,0)))</f>
        <v/>
      </c>
      <c r="G40" s="10" t="n"/>
      <c r="H40" s="8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>
        <f>IF(A40="","",IF(D40="","?",IF(D40&lt;=1250000,"J","N")))</f>
        <v/>
      </c>
      <c r="S40" s="10">
        <f>IF(A40="","",IF(E40="","?",IF(AND(E40&gt;=90,E40&lt;=115),"J","N")))</f>
        <v/>
      </c>
    </row>
    <row r="41">
      <c r="A41" s="8" t="n"/>
      <c r="B41" s="8" t="n"/>
      <c r="C41" s="8" t="n"/>
      <c r="D41" s="9" t="n"/>
      <c r="E41" s="10" t="n"/>
      <c r="F41" s="10">
        <f>IF(A41="","",IF(OR(C41="Etagenwohnung",I41="N"),0,ROUND(100*(3*IF(J41="J",1,IF(J41="N",0,0.5))+3*IF(K41="J",1,IF(K41="N",0,0.5))+2*IF(L41="J",1,IF(L41="N",0,0.5))+2*IF(M41="J",1,IF(M41="N",0,0.5))+1*IF(N41="J",1,IF(N41="N",0,0.5))+1*IF(O41="J",1,IF(O41="N",0,0.5))+1*IF(P41="J",1,IF(P41="N",0,0.5))+1*IF(Q41="J",1,IF(Q41="N",0,0.5))+2*IF(R41="J",1,IF(R41="N",0,0.5))+3*IF(S41="J",1,IF(S41="N",0,0.5)))/19,0)))</f>
        <v/>
      </c>
      <c r="G41" s="10" t="n"/>
      <c r="H41" s="8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>
        <f>IF(A41="","",IF(D41="","?",IF(D41&lt;=1250000,"J","N")))</f>
        <v/>
      </c>
      <c r="S41" s="10">
        <f>IF(A41="","",IF(E41="","?",IF(AND(E41&gt;=90,E41&lt;=115),"J","N")))</f>
        <v/>
      </c>
    </row>
    <row r="42">
      <c r="A42" s="8" t="n"/>
      <c r="B42" s="8" t="n"/>
      <c r="C42" s="8" t="n"/>
      <c r="D42" s="9" t="n"/>
      <c r="E42" s="10" t="n"/>
      <c r="F42" s="10">
        <f>IF(A42="","",IF(OR(C42="Etagenwohnung",I42="N"),0,ROUND(100*(3*IF(J42="J",1,IF(J42="N",0,0.5))+3*IF(K42="J",1,IF(K42="N",0,0.5))+2*IF(L42="J",1,IF(L42="N",0,0.5))+2*IF(M42="J",1,IF(M42="N",0,0.5))+1*IF(N42="J",1,IF(N42="N",0,0.5))+1*IF(O42="J",1,IF(O42="N",0,0.5))+1*IF(P42="J",1,IF(P42="N",0,0.5))+1*IF(Q42="J",1,IF(Q42="N",0,0.5))+2*IF(R42="J",1,IF(R42="N",0,0.5))+3*IF(S42="J",1,IF(S42="N",0,0.5)))/19,0)))</f>
        <v/>
      </c>
      <c r="G42" s="10" t="n"/>
      <c r="H42" s="8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>
        <f>IF(A42="","",IF(D42="","?",IF(D42&lt;=1250000,"J","N")))</f>
        <v/>
      </c>
      <c r="S42" s="10">
        <f>IF(A42="","",IF(E42="","?",IF(AND(E42&gt;=90,E42&lt;=115),"J","N")))</f>
        <v/>
      </c>
    </row>
    <row r="43">
      <c r="A43" s="8" t="n"/>
      <c r="B43" s="8" t="n"/>
      <c r="C43" s="8" t="n"/>
      <c r="D43" s="9" t="n"/>
      <c r="E43" s="10" t="n"/>
      <c r="F43" s="10">
        <f>IF(A43="","",IF(OR(C43="Etagenwohnung",I43="N"),0,ROUND(100*(3*IF(J43="J",1,IF(J43="N",0,0.5))+3*IF(K43="J",1,IF(K43="N",0,0.5))+2*IF(L43="J",1,IF(L43="N",0,0.5))+2*IF(M43="J",1,IF(M43="N",0,0.5))+1*IF(N43="J",1,IF(N43="N",0,0.5))+1*IF(O43="J",1,IF(O43="N",0,0.5))+1*IF(P43="J",1,IF(P43="N",0,0.5))+1*IF(Q43="J",1,IF(Q43="N",0,0.5))+2*IF(R43="J",1,IF(R43="N",0,0.5))+3*IF(S43="J",1,IF(S43="N",0,0.5)))/19,0)))</f>
        <v/>
      </c>
      <c r="G43" s="10" t="n"/>
      <c r="H43" s="8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>
        <f>IF(A43="","",IF(D43="","?",IF(D43&lt;=1250000,"J","N")))</f>
        <v/>
      </c>
      <c r="S43" s="10">
        <f>IF(A43="","",IF(E43="","?",IF(AND(E43&gt;=90,E43&lt;=115),"J","N")))</f>
        <v/>
      </c>
    </row>
    <row r="44">
      <c r="A44" s="8" t="n"/>
      <c r="B44" s="8" t="n"/>
      <c r="C44" s="8" t="n"/>
      <c r="D44" s="9" t="n"/>
      <c r="E44" s="10" t="n"/>
      <c r="F44" s="10">
        <f>IF(A44="","",IF(OR(C44="Etagenwohnung",I44="N"),0,ROUND(100*(3*IF(J44="J",1,IF(J44="N",0,0.5))+3*IF(K44="J",1,IF(K44="N",0,0.5))+2*IF(L44="J",1,IF(L44="N",0,0.5))+2*IF(M44="J",1,IF(M44="N",0,0.5))+1*IF(N44="J",1,IF(N44="N",0,0.5))+1*IF(O44="J",1,IF(O44="N",0,0.5))+1*IF(P44="J",1,IF(P44="N",0,0.5))+1*IF(Q44="J",1,IF(Q44="N",0,0.5))+2*IF(R44="J",1,IF(R44="N",0,0.5))+3*IF(S44="J",1,IF(S44="N",0,0.5)))/19,0)))</f>
        <v/>
      </c>
      <c r="G44" s="10" t="n"/>
      <c r="H44" s="8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>
        <f>IF(A44="","",IF(D44="","?",IF(D44&lt;=1250000,"J","N")))</f>
        <v/>
      </c>
      <c r="S44" s="10">
        <f>IF(A44="","",IF(E44="","?",IF(AND(E44&gt;=90,E44&lt;=115),"J","N")))</f>
        <v/>
      </c>
    </row>
    <row r="45">
      <c r="A45" s="8" t="n"/>
      <c r="B45" s="8" t="n"/>
      <c r="C45" s="8" t="n"/>
      <c r="D45" s="9" t="n"/>
      <c r="E45" s="10" t="n"/>
      <c r="F45" s="10">
        <f>IF(A45="","",IF(OR(C45="Etagenwohnung",I45="N"),0,ROUND(100*(3*IF(J45="J",1,IF(J45="N",0,0.5))+3*IF(K45="J",1,IF(K45="N",0,0.5))+2*IF(L45="J",1,IF(L45="N",0,0.5))+2*IF(M45="J",1,IF(M45="N",0,0.5))+1*IF(N45="J",1,IF(N45="N",0,0.5))+1*IF(O45="J",1,IF(O45="N",0,0.5))+1*IF(P45="J",1,IF(P45="N",0,0.5))+1*IF(Q45="J",1,IF(Q45="N",0,0.5))+2*IF(R45="J",1,IF(R45="N",0,0.5))+3*IF(S45="J",1,IF(S45="N",0,0.5)))/19,0)))</f>
        <v/>
      </c>
      <c r="G45" s="10" t="n"/>
      <c r="H45" s="8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>
        <f>IF(A45="","",IF(D45="","?",IF(D45&lt;=1250000,"J","N")))</f>
        <v/>
      </c>
      <c r="S45" s="10">
        <f>IF(A45="","",IF(E45="","?",IF(AND(E45&gt;=90,E45&lt;=115),"J","N")))</f>
        <v/>
      </c>
    </row>
    <row r="46">
      <c r="A46" s="8" t="n"/>
      <c r="B46" s="8" t="n"/>
      <c r="C46" s="8" t="n"/>
      <c r="D46" s="9" t="n"/>
      <c r="E46" s="10" t="n"/>
      <c r="F46" s="10">
        <f>IF(A46="","",IF(OR(C46="Etagenwohnung",I46="N"),0,ROUND(100*(3*IF(J46="J",1,IF(J46="N",0,0.5))+3*IF(K46="J",1,IF(K46="N",0,0.5))+2*IF(L46="J",1,IF(L46="N",0,0.5))+2*IF(M46="J",1,IF(M46="N",0,0.5))+1*IF(N46="J",1,IF(N46="N",0,0.5))+1*IF(O46="J",1,IF(O46="N",0,0.5))+1*IF(P46="J",1,IF(P46="N",0,0.5))+1*IF(Q46="J",1,IF(Q46="N",0,0.5))+2*IF(R46="J",1,IF(R46="N",0,0.5))+3*IF(S46="J",1,IF(S46="N",0,0.5)))/19,0)))</f>
        <v/>
      </c>
      <c r="G46" s="10" t="n"/>
      <c r="H46" s="8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>
        <f>IF(A46="","",IF(D46="","?",IF(D46&lt;=1250000,"J","N")))</f>
        <v/>
      </c>
      <c r="S46" s="10">
        <f>IF(A46="","",IF(E46="","?",IF(AND(E46&gt;=90,E46&lt;=115),"J","N")))</f>
        <v/>
      </c>
    </row>
    <row r="47">
      <c r="A47" s="8" t="n"/>
      <c r="B47" s="8" t="n"/>
      <c r="C47" s="8" t="n"/>
      <c r="D47" s="9" t="n"/>
      <c r="E47" s="10" t="n"/>
      <c r="F47" s="10">
        <f>IF(A47="","",IF(OR(C47="Etagenwohnung",I47="N"),0,ROUND(100*(3*IF(J47="J",1,IF(J47="N",0,0.5))+3*IF(K47="J",1,IF(K47="N",0,0.5))+2*IF(L47="J",1,IF(L47="N",0,0.5))+2*IF(M47="J",1,IF(M47="N",0,0.5))+1*IF(N47="J",1,IF(N47="N",0,0.5))+1*IF(O47="J",1,IF(O47="N",0,0.5))+1*IF(P47="J",1,IF(P47="N",0,0.5))+1*IF(Q47="J",1,IF(Q47="N",0,0.5))+2*IF(R47="J",1,IF(R47="N",0,0.5))+3*IF(S47="J",1,IF(S47="N",0,0.5)))/19,0)))</f>
        <v/>
      </c>
      <c r="G47" s="10" t="n"/>
      <c r="H47" s="8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>
        <f>IF(A47="","",IF(D47="","?",IF(D47&lt;=1250000,"J","N")))</f>
        <v/>
      </c>
      <c r="S47" s="10">
        <f>IF(A47="","",IF(E47="","?",IF(AND(E47&gt;=90,E47&lt;=115),"J","N")))</f>
        <v/>
      </c>
    </row>
    <row r="48">
      <c r="A48" s="8" t="n"/>
      <c r="B48" s="8" t="n"/>
      <c r="C48" s="8" t="n"/>
      <c r="D48" s="9" t="n"/>
      <c r="E48" s="10" t="n"/>
      <c r="F48" s="10">
        <f>IF(A48="","",IF(OR(C48="Etagenwohnung",I48="N"),0,ROUND(100*(3*IF(J48="J",1,IF(J48="N",0,0.5))+3*IF(K48="J",1,IF(K48="N",0,0.5))+2*IF(L48="J",1,IF(L48="N",0,0.5))+2*IF(M48="J",1,IF(M48="N",0,0.5))+1*IF(N48="J",1,IF(N48="N",0,0.5))+1*IF(O48="J",1,IF(O48="N",0,0.5))+1*IF(P48="J",1,IF(P48="N",0,0.5))+1*IF(Q48="J",1,IF(Q48="N",0,0.5))+2*IF(R48="J",1,IF(R48="N",0,0.5))+3*IF(S48="J",1,IF(S48="N",0,0.5)))/19,0)))</f>
        <v/>
      </c>
      <c r="G48" s="10" t="n"/>
      <c r="H48" s="8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>
        <f>IF(A48="","",IF(D48="","?",IF(D48&lt;=1250000,"J","N")))</f>
        <v/>
      </c>
      <c r="S48" s="10">
        <f>IF(A48="","",IF(E48="","?",IF(AND(E48&gt;=90,E48&lt;=115),"J","N")))</f>
        <v/>
      </c>
    </row>
    <row r="49">
      <c r="A49" s="8" t="n"/>
      <c r="B49" s="8" t="n"/>
      <c r="C49" s="8" t="n"/>
      <c r="D49" s="9" t="n"/>
      <c r="E49" s="10" t="n"/>
      <c r="F49" s="10">
        <f>IF(A49="","",IF(OR(C49="Etagenwohnung",I49="N"),0,ROUND(100*(3*IF(J49="J",1,IF(J49="N",0,0.5))+3*IF(K49="J",1,IF(K49="N",0,0.5))+2*IF(L49="J",1,IF(L49="N",0,0.5))+2*IF(M49="J",1,IF(M49="N",0,0.5))+1*IF(N49="J",1,IF(N49="N",0,0.5))+1*IF(O49="J",1,IF(O49="N",0,0.5))+1*IF(P49="J",1,IF(P49="N",0,0.5))+1*IF(Q49="J",1,IF(Q49="N",0,0.5))+2*IF(R49="J",1,IF(R49="N",0,0.5))+3*IF(S49="J",1,IF(S49="N",0,0.5)))/19,0)))</f>
        <v/>
      </c>
      <c r="G49" s="10" t="n"/>
      <c r="H49" s="8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>
        <f>IF(A49="","",IF(D49="","?",IF(D49&lt;=1250000,"J","N")))</f>
        <v/>
      </c>
      <c r="S49" s="10">
        <f>IF(A49="","",IF(E49="","?",IF(AND(E49&gt;=90,E49&lt;=115),"J","N")))</f>
        <v/>
      </c>
    </row>
    <row r="50">
      <c r="A50" s="8" t="n"/>
      <c r="B50" s="8" t="n"/>
      <c r="C50" s="8" t="n"/>
      <c r="D50" s="9" t="n"/>
      <c r="E50" s="10" t="n"/>
      <c r="F50" s="10">
        <f>IF(A50="","",IF(OR(C50="Etagenwohnung",I50="N"),0,ROUND(100*(3*IF(J50="J",1,IF(J50="N",0,0.5))+3*IF(K50="J",1,IF(K50="N",0,0.5))+2*IF(L50="J",1,IF(L50="N",0,0.5))+2*IF(M50="J",1,IF(M50="N",0,0.5))+1*IF(N50="J",1,IF(N50="N",0,0.5))+1*IF(O50="J",1,IF(O50="N",0,0.5))+1*IF(P50="J",1,IF(P50="N",0,0.5))+1*IF(Q50="J",1,IF(Q50="N",0,0.5))+2*IF(R50="J",1,IF(R50="N",0,0.5))+3*IF(S50="J",1,IF(S50="N",0,0.5)))/19,0)))</f>
        <v/>
      </c>
      <c r="G50" s="10" t="n"/>
      <c r="H50" s="8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>
        <f>IF(A50="","",IF(D50="","?",IF(D50&lt;=1250000,"J","N")))</f>
        <v/>
      </c>
      <c r="S50" s="10">
        <f>IF(A50="","",IF(E50="","?",IF(AND(E50&gt;=90,E50&lt;=115),"J","N")))</f>
        <v/>
      </c>
    </row>
    <row r="51">
      <c r="A51" s="8" t="n"/>
      <c r="B51" s="8" t="n"/>
      <c r="C51" s="8" t="n"/>
      <c r="D51" s="9" t="n"/>
      <c r="E51" s="10" t="n"/>
      <c r="F51" s="10">
        <f>IF(A51="","",IF(OR(C51="Etagenwohnung",I51="N"),0,ROUND(100*(3*IF(J51="J",1,IF(J51="N",0,0.5))+3*IF(K51="J",1,IF(K51="N",0,0.5))+2*IF(L51="J",1,IF(L51="N",0,0.5))+2*IF(M51="J",1,IF(M51="N",0,0.5))+1*IF(N51="J",1,IF(N51="N",0,0.5))+1*IF(O51="J",1,IF(O51="N",0,0.5))+1*IF(P51="J",1,IF(P51="N",0,0.5))+1*IF(Q51="J",1,IF(Q51="N",0,0.5))+2*IF(R51="J",1,IF(R51="N",0,0.5))+3*IF(S51="J",1,IF(S51="N",0,0.5)))/19,0)))</f>
        <v/>
      </c>
      <c r="G51" s="10" t="n"/>
      <c r="H51" s="8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>
        <f>IF(A51="","",IF(D51="","?",IF(D51&lt;=1250000,"J","N")))</f>
        <v/>
      </c>
      <c r="S51" s="10">
        <f>IF(A51="","",IF(E51="","?",IF(AND(E51&gt;=90,E51&lt;=115),"J","N")))</f>
        <v/>
      </c>
    </row>
    <row r="52">
      <c r="A52" s="8" t="n"/>
      <c r="B52" s="8" t="n"/>
      <c r="C52" s="8" t="n"/>
      <c r="D52" s="9" t="n"/>
      <c r="E52" s="10" t="n"/>
      <c r="F52" s="10">
        <f>IF(A52="","",IF(OR(C52="Etagenwohnung",I52="N"),0,ROUND(100*(3*IF(J52="J",1,IF(J52="N",0,0.5))+3*IF(K52="J",1,IF(K52="N",0,0.5))+2*IF(L52="J",1,IF(L52="N",0,0.5))+2*IF(M52="J",1,IF(M52="N",0,0.5))+1*IF(N52="J",1,IF(N52="N",0,0.5))+1*IF(O52="J",1,IF(O52="N",0,0.5))+1*IF(P52="J",1,IF(P52="N",0,0.5))+1*IF(Q52="J",1,IF(Q52="N",0,0.5))+2*IF(R52="J",1,IF(R52="N",0,0.5))+3*IF(S52="J",1,IF(S52="N",0,0.5)))/19,0)))</f>
        <v/>
      </c>
      <c r="G52" s="10" t="n"/>
      <c r="H52" s="8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>
        <f>IF(A52="","",IF(D52="","?",IF(D52&lt;=1250000,"J","N")))</f>
        <v/>
      </c>
      <c r="S52" s="10">
        <f>IF(A52="","",IF(E52="","?",IF(AND(E52&gt;=90,E52&lt;=115),"J","N")))</f>
        <v/>
      </c>
    </row>
    <row r="53">
      <c r="A53" s="8" t="n"/>
      <c r="B53" s="8" t="n"/>
      <c r="C53" s="8" t="n"/>
      <c r="D53" s="9" t="n"/>
      <c r="E53" s="10" t="n"/>
      <c r="F53" s="10">
        <f>IF(A53="","",IF(OR(C53="Etagenwohnung",I53="N"),0,ROUND(100*(3*IF(J53="J",1,IF(J53="N",0,0.5))+3*IF(K53="J",1,IF(K53="N",0,0.5))+2*IF(L53="J",1,IF(L53="N",0,0.5))+2*IF(M53="J",1,IF(M53="N",0,0.5))+1*IF(N53="J",1,IF(N53="N",0,0.5))+1*IF(O53="J",1,IF(O53="N",0,0.5))+1*IF(P53="J",1,IF(P53="N",0,0.5))+1*IF(Q53="J",1,IF(Q53="N",0,0.5))+2*IF(R53="J",1,IF(R53="N",0,0.5))+3*IF(S53="J",1,IF(S53="N",0,0.5)))/19,0)))</f>
        <v/>
      </c>
      <c r="G53" s="10" t="n"/>
      <c r="H53" s="8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>
        <f>IF(A53="","",IF(D53="","?",IF(D53&lt;=1250000,"J","N")))</f>
        <v/>
      </c>
      <c r="S53" s="10">
        <f>IF(A53="","",IF(E53="","?",IF(AND(E53&gt;=90,E53&lt;=115),"J","N")))</f>
        <v/>
      </c>
    </row>
    <row r="54">
      <c r="A54" s="8" t="n"/>
      <c r="B54" s="8" t="n"/>
      <c r="C54" s="8" t="n"/>
      <c r="D54" s="9" t="n"/>
      <c r="E54" s="10" t="n"/>
      <c r="F54" s="10">
        <f>IF(A54="","",IF(OR(C54="Etagenwohnung",I54="N"),0,ROUND(100*(3*IF(J54="J",1,IF(J54="N",0,0.5))+3*IF(K54="J",1,IF(K54="N",0,0.5))+2*IF(L54="J",1,IF(L54="N",0,0.5))+2*IF(M54="J",1,IF(M54="N",0,0.5))+1*IF(N54="J",1,IF(N54="N",0,0.5))+1*IF(O54="J",1,IF(O54="N",0,0.5))+1*IF(P54="J",1,IF(P54="N",0,0.5))+1*IF(Q54="J",1,IF(Q54="N",0,0.5))+2*IF(R54="J",1,IF(R54="N",0,0.5))+3*IF(S54="J",1,IF(S54="N",0,0.5)))/19,0)))</f>
        <v/>
      </c>
      <c r="G54" s="10" t="n"/>
      <c r="H54" s="8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>
        <f>IF(A54="","",IF(D54="","?",IF(D54&lt;=1250000,"J","N")))</f>
        <v/>
      </c>
      <c r="S54" s="10">
        <f>IF(A54="","",IF(E54="","?",IF(AND(E54&gt;=90,E54&lt;=115),"J","N")))</f>
        <v/>
      </c>
    </row>
    <row r="55">
      <c r="A55" s="8" t="n"/>
      <c r="B55" s="8" t="n"/>
      <c r="C55" s="8" t="n"/>
      <c r="D55" s="9" t="n"/>
      <c r="E55" s="10" t="n"/>
      <c r="F55" s="10">
        <f>IF(A55="","",IF(OR(C55="Etagenwohnung",I55="N"),0,ROUND(100*(3*IF(J55="J",1,IF(J55="N",0,0.5))+3*IF(K55="J",1,IF(K55="N",0,0.5))+2*IF(L55="J",1,IF(L55="N",0,0.5))+2*IF(M55="J",1,IF(M55="N",0,0.5))+1*IF(N55="J",1,IF(N55="N",0,0.5))+1*IF(O55="J",1,IF(O55="N",0,0.5))+1*IF(P55="J",1,IF(P55="N",0,0.5))+1*IF(Q55="J",1,IF(Q55="N",0,0.5))+2*IF(R55="J",1,IF(R55="N",0,0.5))+3*IF(S55="J",1,IF(S55="N",0,0.5)))/19,0)))</f>
        <v/>
      </c>
      <c r="G55" s="10" t="n"/>
      <c r="H55" s="8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>
        <f>IF(A55="","",IF(D55="","?",IF(D55&lt;=1250000,"J","N")))</f>
        <v/>
      </c>
      <c r="S55" s="10">
        <f>IF(A55="","",IF(E55="","?",IF(AND(E55&gt;=90,E55&lt;=115),"J","N")))</f>
        <v/>
      </c>
    </row>
    <row r="56">
      <c r="A56" s="8" t="n"/>
      <c r="B56" s="8" t="n"/>
      <c r="C56" s="8" t="n"/>
      <c r="D56" s="9" t="n"/>
      <c r="E56" s="10" t="n"/>
      <c r="F56" s="10">
        <f>IF(A56="","",IF(OR(C56="Etagenwohnung",I56="N"),0,ROUND(100*(3*IF(J56="J",1,IF(J56="N",0,0.5))+3*IF(K56="J",1,IF(K56="N",0,0.5))+2*IF(L56="J",1,IF(L56="N",0,0.5))+2*IF(M56="J",1,IF(M56="N",0,0.5))+1*IF(N56="J",1,IF(N56="N",0,0.5))+1*IF(O56="J",1,IF(O56="N",0,0.5))+1*IF(P56="J",1,IF(P56="N",0,0.5))+1*IF(Q56="J",1,IF(Q56="N",0,0.5))+2*IF(R56="J",1,IF(R56="N",0,0.5))+3*IF(S56="J",1,IF(S56="N",0,0.5)))/19,0)))</f>
        <v/>
      </c>
      <c r="G56" s="10" t="n"/>
      <c r="H56" s="8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>
        <f>IF(A56="","",IF(D56="","?",IF(D56&lt;=1250000,"J","N")))</f>
        <v/>
      </c>
      <c r="S56" s="10">
        <f>IF(A56="","",IF(E56="","?",IF(AND(E56&gt;=90,E56&lt;=115),"J","N")))</f>
        <v/>
      </c>
    </row>
    <row r="57">
      <c r="A57" s="8" t="n"/>
      <c r="B57" s="8" t="n"/>
      <c r="C57" s="8" t="n"/>
      <c r="D57" s="9" t="n"/>
      <c r="E57" s="10" t="n"/>
      <c r="F57" s="10">
        <f>IF(A57="","",IF(OR(C57="Etagenwohnung",I57="N"),0,ROUND(100*(3*IF(J57="J",1,IF(J57="N",0,0.5))+3*IF(K57="J",1,IF(K57="N",0,0.5))+2*IF(L57="J",1,IF(L57="N",0,0.5))+2*IF(M57="J",1,IF(M57="N",0,0.5))+1*IF(N57="J",1,IF(N57="N",0,0.5))+1*IF(O57="J",1,IF(O57="N",0,0.5))+1*IF(P57="J",1,IF(P57="N",0,0.5))+1*IF(Q57="J",1,IF(Q57="N",0,0.5))+2*IF(R57="J",1,IF(R57="N",0,0.5))+3*IF(S57="J",1,IF(S57="N",0,0.5)))/19,0)))</f>
        <v/>
      </c>
      <c r="G57" s="10" t="n"/>
      <c r="H57" s="8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>
        <f>IF(A57="","",IF(D57="","?",IF(D57&lt;=1250000,"J","N")))</f>
        <v/>
      </c>
      <c r="S57" s="10">
        <f>IF(A57="","",IF(E57="","?",IF(AND(E57&gt;=90,E57&lt;=115),"J","N")))</f>
        <v/>
      </c>
    </row>
    <row r="58">
      <c r="A58" s="8" t="n"/>
      <c r="B58" s="8" t="n"/>
      <c r="C58" s="8" t="n"/>
      <c r="D58" s="9" t="n"/>
      <c r="E58" s="10" t="n"/>
      <c r="F58" s="10">
        <f>IF(A58="","",IF(OR(C58="Etagenwohnung",I58="N"),0,ROUND(100*(3*IF(J58="J",1,IF(J58="N",0,0.5))+3*IF(K58="J",1,IF(K58="N",0,0.5))+2*IF(L58="J",1,IF(L58="N",0,0.5))+2*IF(M58="J",1,IF(M58="N",0,0.5))+1*IF(N58="J",1,IF(N58="N",0,0.5))+1*IF(O58="J",1,IF(O58="N",0,0.5))+1*IF(P58="J",1,IF(P58="N",0,0.5))+1*IF(Q58="J",1,IF(Q58="N",0,0.5))+2*IF(R58="J",1,IF(R58="N",0,0.5))+3*IF(S58="J",1,IF(S58="N",0,0.5)))/19,0)))</f>
        <v/>
      </c>
      <c r="G58" s="10" t="n"/>
      <c r="H58" s="8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>
        <f>IF(A58="","",IF(D58="","?",IF(D58&lt;=1250000,"J","N")))</f>
        <v/>
      </c>
      <c r="S58" s="10">
        <f>IF(A58="","",IF(E58="","?",IF(AND(E58&gt;=90,E58&lt;=115),"J","N")))</f>
        <v/>
      </c>
    </row>
    <row r="59">
      <c r="A59" s="8" t="n"/>
      <c r="B59" s="8" t="n"/>
      <c r="C59" s="8" t="n"/>
      <c r="D59" s="9" t="n"/>
      <c r="E59" s="10" t="n"/>
      <c r="F59" s="10">
        <f>IF(A59="","",IF(OR(C59="Etagenwohnung",I59="N"),0,ROUND(100*(3*IF(J59="J",1,IF(J59="N",0,0.5))+3*IF(K59="J",1,IF(K59="N",0,0.5))+2*IF(L59="J",1,IF(L59="N",0,0.5))+2*IF(M59="J",1,IF(M59="N",0,0.5))+1*IF(N59="J",1,IF(N59="N",0,0.5))+1*IF(O59="J",1,IF(O59="N",0,0.5))+1*IF(P59="J",1,IF(P59="N",0,0.5))+1*IF(Q59="J",1,IF(Q59="N",0,0.5))+2*IF(R59="J",1,IF(R59="N",0,0.5))+3*IF(S59="J",1,IF(S59="N",0,0.5)))/19,0)))</f>
        <v/>
      </c>
      <c r="G59" s="10" t="n"/>
      <c r="H59" s="8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>
        <f>IF(A59="","",IF(D59="","?",IF(D59&lt;=1250000,"J","N")))</f>
        <v/>
      </c>
      <c r="S59" s="10">
        <f>IF(A59="","",IF(E59="","?",IF(AND(E59&gt;=90,E59&lt;=115),"J","N")))</f>
        <v/>
      </c>
    </row>
    <row r="60">
      <c r="A60" s="8" t="n"/>
      <c r="B60" s="8" t="n"/>
      <c r="C60" s="8" t="n"/>
      <c r="D60" s="9" t="n"/>
      <c r="E60" s="10" t="n"/>
      <c r="F60" s="10">
        <f>IF(A60="","",IF(OR(C60="Etagenwohnung",I60="N"),0,ROUND(100*(3*IF(J60="J",1,IF(J60="N",0,0.5))+3*IF(K60="J",1,IF(K60="N",0,0.5))+2*IF(L60="J",1,IF(L60="N",0,0.5))+2*IF(M60="J",1,IF(M60="N",0,0.5))+1*IF(N60="J",1,IF(N60="N",0,0.5))+1*IF(O60="J",1,IF(O60="N",0,0.5))+1*IF(P60="J",1,IF(P60="N",0,0.5))+1*IF(Q60="J",1,IF(Q60="N",0,0.5))+2*IF(R60="J",1,IF(R60="N",0,0.5))+3*IF(S60="J",1,IF(S60="N",0,0.5)))/19,0)))</f>
        <v/>
      </c>
      <c r="G60" s="10" t="n"/>
      <c r="H60" s="8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>
        <f>IF(A60="","",IF(D60="","?",IF(D60&lt;=1250000,"J","N")))</f>
        <v/>
      </c>
      <c r="S60" s="10">
        <f>IF(A60="","",IF(E60="","?",IF(AND(E60&gt;=90,E60&lt;=115),"J","N")))</f>
        <v/>
      </c>
    </row>
    <row r="61">
      <c r="A61" s="8" t="n"/>
      <c r="B61" s="8" t="n"/>
      <c r="C61" s="8" t="n"/>
      <c r="D61" s="9" t="n"/>
      <c r="E61" s="10" t="n"/>
      <c r="F61" s="10">
        <f>IF(A61="","",IF(OR(C61="Etagenwohnung",I61="N"),0,ROUND(100*(3*IF(J61="J",1,IF(J61="N",0,0.5))+3*IF(K61="J",1,IF(K61="N",0,0.5))+2*IF(L61="J",1,IF(L61="N",0,0.5))+2*IF(M61="J",1,IF(M61="N",0,0.5))+1*IF(N61="J",1,IF(N61="N",0,0.5))+1*IF(O61="J",1,IF(O61="N",0,0.5))+1*IF(P61="J",1,IF(P61="N",0,0.5))+1*IF(Q61="J",1,IF(Q61="N",0,0.5))+2*IF(R61="J",1,IF(R61="N",0,0.5))+3*IF(S61="J",1,IF(S61="N",0,0.5)))/19,0)))</f>
        <v/>
      </c>
      <c r="G61" s="10" t="n"/>
      <c r="H61" s="8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>
        <f>IF(A61="","",IF(D61="","?",IF(D61&lt;=1250000,"J","N")))</f>
        <v/>
      </c>
      <c r="S61" s="10">
        <f>IF(A61="","",IF(E61="","?",IF(AND(E61&gt;=90,E61&lt;=115),"J","N")))</f>
        <v/>
      </c>
    </row>
    <row r="62">
      <c r="A62" s="8" t="n"/>
      <c r="B62" s="8" t="n"/>
      <c r="C62" s="8" t="n"/>
      <c r="D62" s="9" t="n"/>
      <c r="E62" s="10" t="n"/>
      <c r="F62" s="10">
        <f>IF(A62="","",IF(OR(C62="Etagenwohnung",I62="N"),0,ROUND(100*(3*IF(J62="J",1,IF(J62="N",0,0.5))+3*IF(K62="J",1,IF(K62="N",0,0.5))+2*IF(L62="J",1,IF(L62="N",0,0.5))+2*IF(M62="J",1,IF(M62="N",0,0.5))+1*IF(N62="J",1,IF(N62="N",0,0.5))+1*IF(O62="J",1,IF(O62="N",0,0.5))+1*IF(P62="J",1,IF(P62="N",0,0.5))+1*IF(Q62="J",1,IF(Q62="N",0,0.5))+2*IF(R62="J",1,IF(R62="N",0,0.5))+3*IF(S62="J",1,IF(S62="N",0,0.5)))/19,0)))</f>
        <v/>
      </c>
      <c r="G62" s="10" t="n"/>
      <c r="H62" s="8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>
        <f>IF(A62="","",IF(D62="","?",IF(D62&lt;=1250000,"J","N")))</f>
        <v/>
      </c>
      <c r="S62" s="10">
        <f>IF(A62="","",IF(E62="","?",IF(AND(E62&gt;=90,E62&lt;=115),"J","N")))</f>
        <v/>
      </c>
    </row>
    <row r="63">
      <c r="A63" s="8" t="n"/>
      <c r="B63" s="8" t="n"/>
      <c r="C63" s="8" t="n"/>
      <c r="D63" s="9" t="n"/>
      <c r="E63" s="10" t="n"/>
      <c r="F63" s="10">
        <f>IF(A63="","",IF(OR(C63="Etagenwohnung",I63="N"),0,ROUND(100*(3*IF(J63="J",1,IF(J63="N",0,0.5))+3*IF(K63="J",1,IF(K63="N",0,0.5))+2*IF(L63="J",1,IF(L63="N",0,0.5))+2*IF(M63="J",1,IF(M63="N",0,0.5))+1*IF(N63="J",1,IF(N63="N",0,0.5))+1*IF(O63="J",1,IF(O63="N",0,0.5))+1*IF(P63="J",1,IF(P63="N",0,0.5))+1*IF(Q63="J",1,IF(Q63="N",0,0.5))+2*IF(R63="J",1,IF(R63="N",0,0.5))+3*IF(S63="J",1,IF(S63="N",0,0.5)))/19,0)))</f>
        <v/>
      </c>
      <c r="G63" s="10" t="n"/>
      <c r="H63" s="8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>
        <f>IF(A63="","",IF(D63="","?",IF(D63&lt;=1250000,"J","N")))</f>
        <v/>
      </c>
      <c r="S63" s="10">
        <f>IF(A63="","",IF(E63="","?",IF(AND(E63&gt;=90,E63&lt;=115),"J","N")))</f>
        <v/>
      </c>
    </row>
    <row r="64">
      <c r="A64" s="8" t="n"/>
      <c r="B64" s="8" t="n"/>
      <c r="C64" s="8" t="n"/>
      <c r="D64" s="9" t="n"/>
      <c r="E64" s="10" t="n"/>
      <c r="F64" s="10">
        <f>IF(A64="","",IF(OR(C64="Etagenwohnung",I64="N"),0,ROUND(100*(3*IF(J64="J",1,IF(J64="N",0,0.5))+3*IF(K64="J",1,IF(K64="N",0,0.5))+2*IF(L64="J",1,IF(L64="N",0,0.5))+2*IF(M64="J",1,IF(M64="N",0,0.5))+1*IF(N64="J",1,IF(N64="N",0,0.5))+1*IF(O64="J",1,IF(O64="N",0,0.5))+1*IF(P64="J",1,IF(P64="N",0,0.5))+1*IF(Q64="J",1,IF(Q64="N",0,0.5))+2*IF(R64="J",1,IF(R64="N",0,0.5))+3*IF(S64="J",1,IF(S64="N",0,0.5)))/19,0)))</f>
        <v/>
      </c>
      <c r="G64" s="10" t="n"/>
      <c r="H64" s="8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>
        <f>IF(A64="","",IF(D64="","?",IF(D64&lt;=1250000,"J","N")))</f>
        <v/>
      </c>
      <c r="S64" s="10">
        <f>IF(A64="","",IF(E64="","?",IF(AND(E64&gt;=90,E64&lt;=115),"J","N")))</f>
        <v/>
      </c>
    </row>
    <row r="65">
      <c r="A65" s="8" t="n"/>
      <c r="B65" s="8" t="n"/>
      <c r="C65" s="8" t="n"/>
      <c r="D65" s="9" t="n"/>
      <c r="E65" s="10" t="n"/>
      <c r="F65" s="10">
        <f>IF(A65="","",IF(OR(C65="Etagenwohnung",I65="N"),0,ROUND(100*(3*IF(J65="J",1,IF(J65="N",0,0.5))+3*IF(K65="J",1,IF(K65="N",0,0.5))+2*IF(L65="J",1,IF(L65="N",0,0.5))+2*IF(M65="J",1,IF(M65="N",0,0.5))+1*IF(N65="J",1,IF(N65="N",0,0.5))+1*IF(O65="J",1,IF(O65="N",0,0.5))+1*IF(P65="J",1,IF(P65="N",0,0.5))+1*IF(Q65="J",1,IF(Q65="N",0,0.5))+2*IF(R65="J",1,IF(R65="N",0,0.5))+3*IF(S65="J",1,IF(S65="N",0,0.5)))/19,0)))</f>
        <v/>
      </c>
      <c r="G65" s="10" t="n"/>
      <c r="H65" s="8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>
        <f>IF(A65="","",IF(D65="","?",IF(D65&lt;=1250000,"J","N")))</f>
        <v/>
      </c>
      <c r="S65" s="10">
        <f>IF(A65="","",IF(E65="","?",IF(AND(E65&gt;=90,E65&lt;=115),"J","N")))</f>
        <v/>
      </c>
    </row>
    <row r="66">
      <c r="A66" s="8" t="n"/>
      <c r="B66" s="8" t="n"/>
      <c r="C66" s="8" t="n"/>
      <c r="D66" s="9" t="n"/>
      <c r="E66" s="10" t="n"/>
      <c r="F66" s="10">
        <f>IF(A66="","",IF(OR(C66="Etagenwohnung",I66="N"),0,ROUND(100*(3*IF(J66="J",1,IF(J66="N",0,0.5))+3*IF(K66="J",1,IF(K66="N",0,0.5))+2*IF(L66="J",1,IF(L66="N",0,0.5))+2*IF(M66="J",1,IF(M66="N",0,0.5))+1*IF(N66="J",1,IF(N66="N",0,0.5))+1*IF(O66="J",1,IF(O66="N",0,0.5))+1*IF(P66="J",1,IF(P66="N",0,0.5))+1*IF(Q66="J",1,IF(Q66="N",0,0.5))+2*IF(R66="J",1,IF(R66="N",0,0.5))+3*IF(S66="J",1,IF(S66="N",0,0.5)))/19,0)))</f>
        <v/>
      </c>
      <c r="G66" s="10" t="n"/>
      <c r="H66" s="8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>
        <f>IF(A66="","",IF(D66="","?",IF(D66&lt;=1250000,"J","N")))</f>
        <v/>
      </c>
      <c r="S66" s="10">
        <f>IF(A66="","",IF(E66="","?",IF(AND(E66&gt;=90,E66&lt;=115),"J","N")))</f>
        <v/>
      </c>
    </row>
    <row r="67">
      <c r="A67" s="8" t="n"/>
      <c r="B67" s="8" t="n"/>
      <c r="C67" s="8" t="n"/>
      <c r="D67" s="9" t="n"/>
      <c r="E67" s="10" t="n"/>
      <c r="F67" s="10">
        <f>IF(A67="","",IF(OR(C67="Etagenwohnung",I67="N"),0,ROUND(100*(3*IF(J67="J",1,IF(J67="N",0,0.5))+3*IF(K67="J",1,IF(K67="N",0,0.5))+2*IF(L67="J",1,IF(L67="N",0,0.5))+2*IF(M67="J",1,IF(M67="N",0,0.5))+1*IF(N67="J",1,IF(N67="N",0,0.5))+1*IF(O67="J",1,IF(O67="N",0,0.5))+1*IF(P67="J",1,IF(P67="N",0,0.5))+1*IF(Q67="J",1,IF(Q67="N",0,0.5))+2*IF(R67="J",1,IF(R67="N",0,0.5))+3*IF(S67="J",1,IF(S67="N",0,0.5)))/19,0)))</f>
        <v/>
      </c>
      <c r="G67" s="10" t="n"/>
      <c r="H67" s="8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>
        <f>IF(A67="","",IF(D67="","?",IF(D67&lt;=1250000,"J","N")))</f>
        <v/>
      </c>
      <c r="S67" s="10">
        <f>IF(A67="","",IF(E67="","?",IF(AND(E67&gt;=90,E67&lt;=115),"J","N")))</f>
        <v/>
      </c>
    </row>
    <row r="68">
      <c r="A68" s="8" t="n"/>
      <c r="B68" s="8" t="n"/>
      <c r="C68" s="8" t="n"/>
      <c r="D68" s="9" t="n"/>
      <c r="E68" s="10" t="n"/>
      <c r="F68" s="10">
        <f>IF(A68="","",IF(OR(C68="Etagenwohnung",I68="N"),0,ROUND(100*(3*IF(J68="J",1,IF(J68="N",0,0.5))+3*IF(K68="J",1,IF(K68="N",0,0.5))+2*IF(L68="J",1,IF(L68="N",0,0.5))+2*IF(M68="J",1,IF(M68="N",0,0.5))+1*IF(N68="J",1,IF(N68="N",0,0.5))+1*IF(O68="J",1,IF(O68="N",0,0.5))+1*IF(P68="J",1,IF(P68="N",0,0.5))+1*IF(Q68="J",1,IF(Q68="N",0,0.5))+2*IF(R68="J",1,IF(R68="N",0,0.5))+3*IF(S68="J",1,IF(S68="N",0,0.5)))/19,0)))</f>
        <v/>
      </c>
      <c r="G68" s="10" t="n"/>
      <c r="H68" s="8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>
        <f>IF(A68="","",IF(D68="","?",IF(D68&lt;=1250000,"J","N")))</f>
        <v/>
      </c>
      <c r="S68" s="10">
        <f>IF(A68="","",IF(E68="","?",IF(AND(E68&gt;=90,E68&lt;=115),"J","N")))</f>
        <v/>
      </c>
    </row>
    <row r="69">
      <c r="A69" s="8" t="n"/>
      <c r="B69" s="8" t="n"/>
      <c r="C69" s="8" t="n"/>
      <c r="D69" s="9" t="n"/>
      <c r="E69" s="10" t="n"/>
      <c r="F69" s="10">
        <f>IF(A69="","",IF(OR(C69="Etagenwohnung",I69="N"),0,ROUND(100*(3*IF(J69="J",1,IF(J69="N",0,0.5))+3*IF(K69="J",1,IF(K69="N",0,0.5))+2*IF(L69="J",1,IF(L69="N",0,0.5))+2*IF(M69="J",1,IF(M69="N",0,0.5))+1*IF(N69="J",1,IF(N69="N",0,0.5))+1*IF(O69="J",1,IF(O69="N",0,0.5))+1*IF(P69="J",1,IF(P69="N",0,0.5))+1*IF(Q69="J",1,IF(Q69="N",0,0.5))+2*IF(R69="J",1,IF(R69="N",0,0.5))+3*IF(S69="J",1,IF(S69="N",0,0.5)))/19,0)))</f>
        <v/>
      </c>
      <c r="G69" s="10" t="n"/>
      <c r="H69" s="8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>
        <f>IF(A69="","",IF(D69="","?",IF(D69&lt;=1250000,"J","N")))</f>
        <v/>
      </c>
      <c r="S69" s="10">
        <f>IF(A69="","",IF(E69="","?",IF(AND(E69&gt;=90,E69&lt;=115),"J","N")))</f>
        <v/>
      </c>
    </row>
    <row r="70">
      <c r="A70" s="8" t="n"/>
      <c r="B70" s="8" t="n"/>
      <c r="C70" s="8" t="n"/>
      <c r="D70" s="9" t="n"/>
      <c r="E70" s="10" t="n"/>
      <c r="F70" s="10">
        <f>IF(A70="","",IF(OR(C70="Etagenwohnung",I70="N"),0,ROUND(100*(3*IF(J70="J",1,IF(J70="N",0,0.5))+3*IF(K70="J",1,IF(K70="N",0,0.5))+2*IF(L70="J",1,IF(L70="N",0,0.5))+2*IF(M70="J",1,IF(M70="N",0,0.5))+1*IF(N70="J",1,IF(N70="N",0,0.5))+1*IF(O70="J",1,IF(O70="N",0,0.5))+1*IF(P70="J",1,IF(P70="N",0,0.5))+1*IF(Q70="J",1,IF(Q70="N",0,0.5))+2*IF(R70="J",1,IF(R70="N",0,0.5))+3*IF(S70="J",1,IF(S70="N",0,0.5)))/19,0)))</f>
        <v/>
      </c>
      <c r="G70" s="10" t="n"/>
      <c r="H70" s="8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>
        <f>IF(A70="","",IF(D70="","?",IF(D70&lt;=1250000,"J","N")))</f>
        <v/>
      </c>
      <c r="S70" s="10">
        <f>IF(A70="","",IF(E70="","?",IF(AND(E70&gt;=90,E70&lt;=115),"J","N")))</f>
        <v/>
      </c>
    </row>
    <row r="71">
      <c r="A71" s="8" t="n"/>
      <c r="B71" s="8" t="n"/>
      <c r="C71" s="8" t="n"/>
      <c r="D71" s="9" t="n"/>
      <c r="E71" s="10" t="n"/>
      <c r="F71" s="10">
        <f>IF(A71="","",IF(OR(C71="Etagenwohnung",I71="N"),0,ROUND(100*(3*IF(J71="J",1,IF(J71="N",0,0.5))+3*IF(K71="J",1,IF(K71="N",0,0.5))+2*IF(L71="J",1,IF(L71="N",0,0.5))+2*IF(M71="J",1,IF(M71="N",0,0.5))+1*IF(N71="J",1,IF(N71="N",0,0.5))+1*IF(O71="J",1,IF(O71="N",0,0.5))+1*IF(P71="J",1,IF(P71="N",0,0.5))+1*IF(Q71="J",1,IF(Q71="N",0,0.5))+2*IF(R71="J",1,IF(R71="N",0,0.5))+3*IF(S71="J",1,IF(S71="N",0,0.5)))/19,0)))</f>
        <v/>
      </c>
      <c r="G71" s="10" t="n"/>
      <c r="H71" s="8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>
        <f>IF(A71="","",IF(D71="","?",IF(D71&lt;=1250000,"J","N")))</f>
        <v/>
      </c>
      <c r="S71" s="10">
        <f>IF(A71="","",IF(E71="","?",IF(AND(E71&gt;=90,E71&lt;=115),"J","N")))</f>
        <v/>
      </c>
    </row>
    <row r="72">
      <c r="A72" s="8" t="n"/>
      <c r="B72" s="8" t="n"/>
      <c r="C72" s="8" t="n"/>
      <c r="D72" s="9" t="n"/>
      <c r="E72" s="10" t="n"/>
      <c r="F72" s="10">
        <f>IF(A72="","",IF(OR(C72="Etagenwohnung",I72="N"),0,ROUND(100*(3*IF(J72="J",1,IF(J72="N",0,0.5))+3*IF(K72="J",1,IF(K72="N",0,0.5))+2*IF(L72="J",1,IF(L72="N",0,0.5))+2*IF(M72="J",1,IF(M72="N",0,0.5))+1*IF(N72="J",1,IF(N72="N",0,0.5))+1*IF(O72="J",1,IF(O72="N",0,0.5))+1*IF(P72="J",1,IF(P72="N",0,0.5))+1*IF(Q72="J",1,IF(Q72="N",0,0.5))+2*IF(R72="J",1,IF(R72="N",0,0.5))+3*IF(S72="J",1,IF(S72="N",0,0.5)))/19,0)))</f>
        <v/>
      </c>
      <c r="G72" s="10" t="n"/>
      <c r="H72" s="8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>
        <f>IF(A72="","",IF(D72="","?",IF(D72&lt;=1250000,"J","N")))</f>
        <v/>
      </c>
      <c r="S72" s="10">
        <f>IF(A72="","",IF(E72="","?",IF(AND(E72&gt;=90,E72&lt;=115),"J","N")))</f>
        <v/>
      </c>
    </row>
    <row r="73">
      <c r="A73" s="8" t="n"/>
      <c r="B73" s="8" t="n"/>
      <c r="C73" s="8" t="n"/>
      <c r="D73" s="9" t="n"/>
      <c r="E73" s="10" t="n"/>
      <c r="F73" s="10">
        <f>IF(A73="","",IF(OR(C73="Etagenwohnung",I73="N"),0,ROUND(100*(3*IF(J73="J",1,IF(J73="N",0,0.5))+3*IF(K73="J",1,IF(K73="N",0,0.5))+2*IF(L73="J",1,IF(L73="N",0,0.5))+2*IF(M73="J",1,IF(M73="N",0,0.5))+1*IF(N73="J",1,IF(N73="N",0,0.5))+1*IF(O73="J",1,IF(O73="N",0,0.5))+1*IF(P73="J",1,IF(P73="N",0,0.5))+1*IF(Q73="J",1,IF(Q73="N",0,0.5))+2*IF(R73="J",1,IF(R73="N",0,0.5))+3*IF(S73="J",1,IF(S73="N",0,0.5)))/19,0)))</f>
        <v/>
      </c>
      <c r="G73" s="10" t="n"/>
      <c r="H73" s="8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>
        <f>IF(A73="","",IF(D73="","?",IF(D73&lt;=1250000,"J","N")))</f>
        <v/>
      </c>
      <c r="S73" s="10">
        <f>IF(A73="","",IF(E73="","?",IF(AND(E73&gt;=90,E73&lt;=115),"J","N")))</f>
        <v/>
      </c>
    </row>
    <row r="74">
      <c r="A74" s="8" t="n"/>
      <c r="B74" s="8" t="n"/>
      <c r="C74" s="8" t="n"/>
      <c r="D74" s="9" t="n"/>
      <c r="E74" s="10" t="n"/>
      <c r="F74" s="10">
        <f>IF(A74="","",IF(OR(C74="Etagenwohnung",I74="N"),0,ROUND(100*(3*IF(J74="J",1,IF(J74="N",0,0.5))+3*IF(K74="J",1,IF(K74="N",0,0.5))+2*IF(L74="J",1,IF(L74="N",0,0.5))+2*IF(M74="J",1,IF(M74="N",0,0.5))+1*IF(N74="J",1,IF(N74="N",0,0.5))+1*IF(O74="J",1,IF(O74="N",0,0.5))+1*IF(P74="J",1,IF(P74="N",0,0.5))+1*IF(Q74="J",1,IF(Q74="N",0,0.5))+2*IF(R74="J",1,IF(R74="N",0,0.5))+3*IF(S74="J",1,IF(S74="N",0,0.5)))/19,0)))</f>
        <v/>
      </c>
      <c r="G74" s="10" t="n"/>
      <c r="H74" s="8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>
        <f>IF(A74="","",IF(D74="","?",IF(D74&lt;=1250000,"J","N")))</f>
        <v/>
      </c>
      <c r="S74" s="10">
        <f>IF(A74="","",IF(E74="","?",IF(AND(E74&gt;=90,E74&lt;=115),"J","N")))</f>
        <v/>
      </c>
    </row>
    <row r="75">
      <c r="A75" s="8" t="n"/>
      <c r="B75" s="8" t="n"/>
      <c r="C75" s="8" t="n"/>
      <c r="D75" s="9" t="n"/>
      <c r="E75" s="10" t="n"/>
      <c r="F75" s="10">
        <f>IF(A75="","",IF(OR(C75="Etagenwohnung",I75="N"),0,ROUND(100*(3*IF(J75="J",1,IF(J75="N",0,0.5))+3*IF(K75="J",1,IF(K75="N",0,0.5))+2*IF(L75="J",1,IF(L75="N",0,0.5))+2*IF(M75="J",1,IF(M75="N",0,0.5))+1*IF(N75="J",1,IF(N75="N",0,0.5))+1*IF(O75="J",1,IF(O75="N",0,0.5))+1*IF(P75="J",1,IF(P75="N",0,0.5))+1*IF(Q75="J",1,IF(Q75="N",0,0.5))+2*IF(R75="J",1,IF(R75="N",0,0.5))+3*IF(S75="J",1,IF(S75="N",0,0.5)))/19,0)))</f>
        <v/>
      </c>
      <c r="G75" s="10" t="n"/>
      <c r="H75" s="8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>
        <f>IF(A75="","",IF(D75="","?",IF(D75&lt;=1250000,"J","N")))</f>
        <v/>
      </c>
      <c r="S75" s="10">
        <f>IF(A75="","",IF(E75="","?",IF(AND(E75&gt;=90,E75&lt;=115),"J","N")))</f>
        <v/>
      </c>
    </row>
    <row r="76">
      <c r="A76" s="8" t="n"/>
      <c r="B76" s="8" t="n"/>
      <c r="C76" s="8" t="n"/>
      <c r="D76" s="9" t="n"/>
      <c r="E76" s="10" t="n"/>
      <c r="F76" s="10">
        <f>IF(A76="","",IF(OR(C76="Etagenwohnung",I76="N"),0,ROUND(100*(3*IF(J76="J",1,IF(J76="N",0,0.5))+3*IF(K76="J",1,IF(K76="N",0,0.5))+2*IF(L76="J",1,IF(L76="N",0,0.5))+2*IF(M76="J",1,IF(M76="N",0,0.5))+1*IF(N76="J",1,IF(N76="N",0,0.5))+1*IF(O76="J",1,IF(O76="N",0,0.5))+1*IF(P76="J",1,IF(P76="N",0,0.5))+1*IF(Q76="J",1,IF(Q76="N",0,0.5))+2*IF(R76="J",1,IF(R76="N",0,0.5))+3*IF(S76="J",1,IF(S76="N",0,0.5)))/19,0)))</f>
        <v/>
      </c>
      <c r="G76" s="10" t="n"/>
      <c r="H76" s="8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>
        <f>IF(A76="","",IF(D76="","?",IF(D76&lt;=1250000,"J","N")))</f>
        <v/>
      </c>
      <c r="S76" s="10">
        <f>IF(A76="","",IF(E76="","?",IF(AND(E76&gt;=90,E76&lt;=115),"J","N")))</f>
        <v/>
      </c>
    </row>
    <row r="77">
      <c r="A77" s="8" t="n"/>
      <c r="B77" s="8" t="n"/>
      <c r="C77" s="8" t="n"/>
      <c r="D77" s="9" t="n"/>
      <c r="E77" s="10" t="n"/>
      <c r="F77" s="10">
        <f>IF(A77="","",IF(OR(C77="Etagenwohnung",I77="N"),0,ROUND(100*(3*IF(J77="J",1,IF(J77="N",0,0.5))+3*IF(K77="J",1,IF(K77="N",0,0.5))+2*IF(L77="J",1,IF(L77="N",0,0.5))+2*IF(M77="J",1,IF(M77="N",0,0.5))+1*IF(N77="J",1,IF(N77="N",0,0.5))+1*IF(O77="J",1,IF(O77="N",0,0.5))+1*IF(P77="J",1,IF(P77="N",0,0.5))+1*IF(Q77="J",1,IF(Q77="N",0,0.5))+2*IF(R77="J",1,IF(R77="N",0,0.5))+3*IF(S77="J",1,IF(S77="N",0,0.5)))/19,0)))</f>
        <v/>
      </c>
      <c r="G77" s="10" t="n"/>
      <c r="H77" s="8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>
        <f>IF(A77="","",IF(D77="","?",IF(D77&lt;=1250000,"J","N")))</f>
        <v/>
      </c>
      <c r="S77" s="10">
        <f>IF(A77="","",IF(E77="","?",IF(AND(E77&gt;=90,E77&lt;=115),"J","N")))</f>
        <v/>
      </c>
    </row>
    <row r="78">
      <c r="A78" s="8" t="n"/>
      <c r="B78" s="8" t="n"/>
      <c r="C78" s="8" t="n"/>
      <c r="D78" s="9" t="n"/>
      <c r="E78" s="10" t="n"/>
      <c r="F78" s="10">
        <f>IF(A78="","",IF(OR(C78="Etagenwohnung",I78="N"),0,ROUND(100*(3*IF(J78="J",1,IF(J78="N",0,0.5))+3*IF(K78="J",1,IF(K78="N",0,0.5))+2*IF(L78="J",1,IF(L78="N",0,0.5))+2*IF(M78="J",1,IF(M78="N",0,0.5))+1*IF(N78="J",1,IF(N78="N",0,0.5))+1*IF(O78="J",1,IF(O78="N",0,0.5))+1*IF(P78="J",1,IF(P78="N",0,0.5))+1*IF(Q78="J",1,IF(Q78="N",0,0.5))+2*IF(R78="J",1,IF(R78="N",0,0.5))+3*IF(S78="J",1,IF(S78="N",0,0.5)))/19,0)))</f>
        <v/>
      </c>
      <c r="G78" s="10" t="n"/>
      <c r="H78" s="8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>
        <f>IF(A78="","",IF(D78="","?",IF(D78&lt;=1250000,"J","N")))</f>
        <v/>
      </c>
      <c r="S78" s="10">
        <f>IF(A78="","",IF(E78="","?",IF(AND(E78&gt;=90,E78&lt;=115),"J","N")))</f>
        <v/>
      </c>
    </row>
    <row r="79">
      <c r="A79" s="8" t="n"/>
      <c r="B79" s="8" t="n"/>
      <c r="C79" s="8" t="n"/>
      <c r="D79" s="9" t="n"/>
      <c r="E79" s="10" t="n"/>
      <c r="F79" s="10">
        <f>IF(A79="","",IF(OR(C79="Etagenwohnung",I79="N"),0,ROUND(100*(3*IF(J79="J",1,IF(J79="N",0,0.5))+3*IF(K79="J",1,IF(K79="N",0,0.5))+2*IF(L79="J",1,IF(L79="N",0,0.5))+2*IF(M79="J",1,IF(M79="N",0,0.5))+1*IF(N79="J",1,IF(N79="N",0,0.5))+1*IF(O79="J",1,IF(O79="N",0,0.5))+1*IF(P79="J",1,IF(P79="N",0,0.5))+1*IF(Q79="J",1,IF(Q79="N",0,0.5))+2*IF(R79="J",1,IF(R79="N",0,0.5))+3*IF(S79="J",1,IF(S79="N",0,0.5)))/19,0)))</f>
        <v/>
      </c>
      <c r="G79" s="10" t="n"/>
      <c r="H79" s="8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>
        <f>IF(A79="","",IF(D79="","?",IF(D79&lt;=1250000,"J","N")))</f>
        <v/>
      </c>
      <c r="S79" s="10">
        <f>IF(A79="","",IF(E79="","?",IF(AND(E79&gt;=90,E79&lt;=115),"J","N")))</f>
        <v/>
      </c>
    </row>
    <row r="80">
      <c r="A80" s="8" t="n"/>
      <c r="B80" s="8" t="n"/>
      <c r="C80" s="8" t="n"/>
      <c r="D80" s="9" t="n"/>
      <c r="E80" s="10" t="n"/>
      <c r="F80" s="10">
        <f>IF(A80="","",IF(OR(C80="Etagenwohnung",I80="N"),0,ROUND(100*(3*IF(J80="J",1,IF(J80="N",0,0.5))+3*IF(K80="J",1,IF(K80="N",0,0.5))+2*IF(L80="J",1,IF(L80="N",0,0.5))+2*IF(M80="J",1,IF(M80="N",0,0.5))+1*IF(N80="J",1,IF(N80="N",0,0.5))+1*IF(O80="J",1,IF(O80="N",0,0.5))+1*IF(P80="J",1,IF(P80="N",0,0.5))+1*IF(Q80="J",1,IF(Q80="N",0,0.5))+2*IF(R80="J",1,IF(R80="N",0,0.5))+3*IF(S80="J",1,IF(S80="N",0,0.5)))/19,0)))</f>
        <v/>
      </c>
      <c r="G80" s="10" t="n"/>
      <c r="H80" s="8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>
        <f>IF(A80="","",IF(D80="","?",IF(D80&lt;=1250000,"J","N")))</f>
        <v/>
      </c>
      <c r="S80" s="10">
        <f>IF(A80="","",IF(E80="","?",IF(AND(E80&gt;=90,E80&lt;=115),"J","N")))</f>
        <v/>
      </c>
    </row>
    <row r="81">
      <c r="A81" s="8" t="n"/>
      <c r="B81" s="8" t="n"/>
      <c r="C81" s="8" t="n"/>
      <c r="D81" s="9" t="n"/>
      <c r="E81" s="10" t="n"/>
      <c r="F81" s="10">
        <f>IF(A81="","",IF(OR(C81="Etagenwohnung",I81="N"),0,ROUND(100*(3*IF(J81="J",1,IF(J81="N",0,0.5))+3*IF(K81="J",1,IF(K81="N",0,0.5))+2*IF(L81="J",1,IF(L81="N",0,0.5))+2*IF(M81="J",1,IF(M81="N",0,0.5))+1*IF(N81="J",1,IF(N81="N",0,0.5))+1*IF(O81="J",1,IF(O81="N",0,0.5))+1*IF(P81="J",1,IF(P81="N",0,0.5))+1*IF(Q81="J",1,IF(Q81="N",0,0.5))+2*IF(R81="J",1,IF(R81="N",0,0.5))+3*IF(S81="J",1,IF(S81="N",0,0.5)))/19,0)))</f>
        <v/>
      </c>
      <c r="G81" s="10" t="n"/>
      <c r="H81" s="8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>
        <f>IF(A81="","",IF(D81="","?",IF(D81&lt;=1250000,"J","N")))</f>
        <v/>
      </c>
      <c r="S81" s="10">
        <f>IF(A81="","",IF(E81="","?",IF(AND(E81&gt;=90,E81&lt;=115),"J","N")))</f>
        <v/>
      </c>
    </row>
    <row r="82">
      <c r="A82" s="8" t="n"/>
      <c r="B82" s="8" t="n"/>
      <c r="C82" s="8" t="n"/>
      <c r="D82" s="9" t="n"/>
      <c r="E82" s="10" t="n"/>
      <c r="F82" s="10">
        <f>IF(A82="","",IF(OR(C82="Etagenwohnung",I82="N"),0,ROUND(100*(3*IF(J82="J",1,IF(J82="N",0,0.5))+3*IF(K82="J",1,IF(K82="N",0,0.5))+2*IF(L82="J",1,IF(L82="N",0,0.5))+2*IF(M82="J",1,IF(M82="N",0,0.5))+1*IF(N82="J",1,IF(N82="N",0,0.5))+1*IF(O82="J",1,IF(O82="N",0,0.5))+1*IF(P82="J",1,IF(P82="N",0,0.5))+1*IF(Q82="J",1,IF(Q82="N",0,0.5))+2*IF(R82="J",1,IF(R82="N",0,0.5))+3*IF(S82="J",1,IF(S82="N",0,0.5)))/19,0)))</f>
        <v/>
      </c>
      <c r="G82" s="10" t="n"/>
      <c r="H82" s="8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>
        <f>IF(A82="","",IF(D82="","?",IF(D82&lt;=1250000,"J","N")))</f>
        <v/>
      </c>
      <c r="S82" s="10">
        <f>IF(A82="","",IF(E82="","?",IF(AND(E82&gt;=90,E82&lt;=115),"J","N")))</f>
        <v/>
      </c>
    </row>
    <row r="83">
      <c r="A83" s="8" t="n"/>
      <c r="B83" s="8" t="n"/>
      <c r="C83" s="8" t="n"/>
      <c r="D83" s="9" t="n"/>
      <c r="E83" s="10" t="n"/>
      <c r="F83" s="10">
        <f>IF(A83="","",IF(OR(C83="Etagenwohnung",I83="N"),0,ROUND(100*(3*IF(J83="J",1,IF(J83="N",0,0.5))+3*IF(K83="J",1,IF(K83="N",0,0.5))+2*IF(L83="J",1,IF(L83="N",0,0.5))+2*IF(M83="J",1,IF(M83="N",0,0.5))+1*IF(N83="J",1,IF(N83="N",0,0.5))+1*IF(O83="J",1,IF(O83="N",0,0.5))+1*IF(P83="J",1,IF(P83="N",0,0.5))+1*IF(Q83="J",1,IF(Q83="N",0,0.5))+2*IF(R83="J",1,IF(R83="N",0,0.5))+3*IF(S83="J",1,IF(S83="N",0,0.5)))/19,0)))</f>
        <v/>
      </c>
      <c r="G83" s="10" t="n"/>
      <c r="H83" s="8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>
        <f>IF(A83="","",IF(D83="","?",IF(D83&lt;=1250000,"J","N")))</f>
        <v/>
      </c>
      <c r="S83" s="10">
        <f>IF(A83="","",IF(E83="","?",IF(AND(E83&gt;=90,E83&lt;=115),"J","N")))</f>
        <v/>
      </c>
    </row>
    <row r="84">
      <c r="A84" s="8" t="n"/>
      <c r="B84" s="8" t="n"/>
      <c r="C84" s="8" t="n"/>
      <c r="D84" s="9" t="n"/>
      <c r="E84" s="10" t="n"/>
      <c r="F84" s="10">
        <f>IF(A84="","",IF(OR(C84="Etagenwohnung",I84="N"),0,ROUND(100*(3*IF(J84="J",1,IF(J84="N",0,0.5))+3*IF(K84="J",1,IF(K84="N",0,0.5))+2*IF(L84="J",1,IF(L84="N",0,0.5))+2*IF(M84="J",1,IF(M84="N",0,0.5))+1*IF(N84="J",1,IF(N84="N",0,0.5))+1*IF(O84="J",1,IF(O84="N",0,0.5))+1*IF(P84="J",1,IF(P84="N",0,0.5))+1*IF(Q84="J",1,IF(Q84="N",0,0.5))+2*IF(R84="J",1,IF(R84="N",0,0.5))+3*IF(S84="J",1,IF(S84="N",0,0.5)))/19,0)))</f>
        <v/>
      </c>
      <c r="G84" s="10" t="n"/>
      <c r="H84" s="8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>
        <f>IF(A84="","",IF(D84="","?",IF(D84&lt;=1250000,"J","N")))</f>
        <v/>
      </c>
      <c r="S84" s="10">
        <f>IF(A84="","",IF(E84="","?",IF(AND(E84&gt;=90,E84&lt;=115),"J","N")))</f>
        <v/>
      </c>
    </row>
    <row r="85">
      <c r="A85" s="8" t="n"/>
      <c r="B85" s="8" t="n"/>
      <c r="C85" s="8" t="n"/>
      <c r="D85" s="9" t="n"/>
      <c r="E85" s="10" t="n"/>
      <c r="F85" s="10">
        <f>IF(A85="","",IF(OR(C85="Etagenwohnung",I85="N"),0,ROUND(100*(3*IF(J85="J",1,IF(J85="N",0,0.5))+3*IF(K85="J",1,IF(K85="N",0,0.5))+2*IF(L85="J",1,IF(L85="N",0,0.5))+2*IF(M85="J",1,IF(M85="N",0,0.5))+1*IF(N85="J",1,IF(N85="N",0,0.5))+1*IF(O85="J",1,IF(O85="N",0,0.5))+1*IF(P85="J",1,IF(P85="N",0,0.5))+1*IF(Q85="J",1,IF(Q85="N",0,0.5))+2*IF(R85="J",1,IF(R85="N",0,0.5))+3*IF(S85="J",1,IF(S85="N",0,0.5)))/19,0)))</f>
        <v/>
      </c>
      <c r="G85" s="10" t="n"/>
      <c r="H85" s="8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>
        <f>IF(A85="","",IF(D85="","?",IF(D85&lt;=1250000,"J","N")))</f>
        <v/>
      </c>
      <c r="S85" s="10">
        <f>IF(A85="","",IF(E85="","?",IF(AND(E85&gt;=90,E85&lt;=115),"J","N")))</f>
        <v/>
      </c>
    </row>
    <row r="86">
      <c r="A86" s="8" t="n"/>
      <c r="B86" s="8" t="n"/>
      <c r="C86" s="8" t="n"/>
      <c r="D86" s="9" t="n"/>
      <c r="E86" s="10" t="n"/>
      <c r="F86" s="10">
        <f>IF(A86="","",IF(OR(C86="Etagenwohnung",I86="N"),0,ROUND(100*(3*IF(J86="J",1,IF(J86="N",0,0.5))+3*IF(K86="J",1,IF(K86="N",0,0.5))+2*IF(L86="J",1,IF(L86="N",0,0.5))+2*IF(M86="J",1,IF(M86="N",0,0.5))+1*IF(N86="J",1,IF(N86="N",0,0.5))+1*IF(O86="J",1,IF(O86="N",0,0.5))+1*IF(P86="J",1,IF(P86="N",0,0.5))+1*IF(Q86="J",1,IF(Q86="N",0,0.5))+2*IF(R86="J",1,IF(R86="N",0,0.5))+3*IF(S86="J",1,IF(S86="N",0,0.5)))/19,0)))</f>
        <v/>
      </c>
      <c r="G86" s="10" t="n"/>
      <c r="H86" s="8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>
        <f>IF(A86="","",IF(D86="","?",IF(D86&lt;=1250000,"J","N")))</f>
        <v/>
      </c>
      <c r="S86" s="10">
        <f>IF(A86="","",IF(E86="","?",IF(AND(E86&gt;=90,E86&lt;=115),"J","N")))</f>
        <v/>
      </c>
    </row>
    <row r="87">
      <c r="A87" s="8" t="n"/>
      <c r="B87" s="8" t="n"/>
      <c r="C87" s="8" t="n"/>
      <c r="D87" s="9" t="n"/>
      <c r="E87" s="10" t="n"/>
      <c r="F87" s="10">
        <f>IF(A87="","",IF(OR(C87="Etagenwohnung",I87="N"),0,ROUND(100*(3*IF(J87="J",1,IF(J87="N",0,0.5))+3*IF(K87="J",1,IF(K87="N",0,0.5))+2*IF(L87="J",1,IF(L87="N",0,0.5))+2*IF(M87="J",1,IF(M87="N",0,0.5))+1*IF(N87="J",1,IF(N87="N",0,0.5))+1*IF(O87="J",1,IF(O87="N",0,0.5))+1*IF(P87="J",1,IF(P87="N",0,0.5))+1*IF(Q87="J",1,IF(Q87="N",0,0.5))+2*IF(R87="J",1,IF(R87="N",0,0.5))+3*IF(S87="J",1,IF(S87="N",0,0.5)))/19,0)))</f>
        <v/>
      </c>
      <c r="G87" s="10" t="n"/>
      <c r="H87" s="8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>
        <f>IF(A87="","",IF(D87="","?",IF(D87&lt;=1250000,"J","N")))</f>
        <v/>
      </c>
      <c r="S87" s="10">
        <f>IF(A87="","",IF(E87="","?",IF(AND(E87&gt;=90,E87&lt;=115),"J","N")))</f>
        <v/>
      </c>
    </row>
    <row r="88">
      <c r="A88" s="8" t="n"/>
      <c r="B88" s="8" t="n"/>
      <c r="C88" s="8" t="n"/>
      <c r="D88" s="9" t="n"/>
      <c r="E88" s="10" t="n"/>
      <c r="F88" s="10">
        <f>IF(A88="","",IF(OR(C88="Etagenwohnung",I88="N"),0,ROUND(100*(3*IF(J88="J",1,IF(J88="N",0,0.5))+3*IF(K88="J",1,IF(K88="N",0,0.5))+2*IF(L88="J",1,IF(L88="N",0,0.5))+2*IF(M88="J",1,IF(M88="N",0,0.5))+1*IF(N88="J",1,IF(N88="N",0,0.5))+1*IF(O88="J",1,IF(O88="N",0,0.5))+1*IF(P88="J",1,IF(P88="N",0,0.5))+1*IF(Q88="J",1,IF(Q88="N",0,0.5))+2*IF(R88="J",1,IF(R88="N",0,0.5))+3*IF(S88="J",1,IF(S88="N",0,0.5)))/19,0)))</f>
        <v/>
      </c>
      <c r="G88" s="10" t="n"/>
      <c r="H88" s="8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>
        <f>IF(A88="","",IF(D88="","?",IF(D88&lt;=1250000,"J","N")))</f>
        <v/>
      </c>
      <c r="S88" s="10">
        <f>IF(A88="","",IF(E88="","?",IF(AND(E88&gt;=90,E88&lt;=115),"J","N")))</f>
        <v/>
      </c>
    </row>
    <row r="89">
      <c r="A89" s="8" t="n"/>
      <c r="B89" s="8" t="n"/>
      <c r="C89" s="8" t="n"/>
      <c r="D89" s="9" t="n"/>
      <c r="E89" s="10" t="n"/>
      <c r="F89" s="10">
        <f>IF(A89="","",IF(OR(C89="Etagenwohnung",I89="N"),0,ROUND(100*(3*IF(J89="J",1,IF(J89="N",0,0.5))+3*IF(K89="J",1,IF(K89="N",0,0.5))+2*IF(L89="J",1,IF(L89="N",0,0.5))+2*IF(M89="J",1,IF(M89="N",0,0.5))+1*IF(N89="J",1,IF(N89="N",0,0.5))+1*IF(O89="J",1,IF(O89="N",0,0.5))+1*IF(P89="J",1,IF(P89="N",0,0.5))+1*IF(Q89="J",1,IF(Q89="N",0,0.5))+2*IF(R89="J",1,IF(R89="N",0,0.5))+3*IF(S89="J",1,IF(S89="N",0,0.5)))/19,0)))</f>
        <v/>
      </c>
      <c r="G89" s="10" t="n"/>
      <c r="H89" s="8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>
        <f>IF(A89="","",IF(D89="","?",IF(D89&lt;=1250000,"J","N")))</f>
        <v/>
      </c>
      <c r="S89" s="10">
        <f>IF(A89="","",IF(E89="","?",IF(AND(E89&gt;=90,E89&lt;=115),"J","N")))</f>
        <v/>
      </c>
    </row>
    <row r="90">
      <c r="A90" s="8" t="n"/>
      <c r="B90" s="8" t="n"/>
      <c r="C90" s="8" t="n"/>
      <c r="D90" s="9" t="n"/>
      <c r="E90" s="10" t="n"/>
      <c r="F90" s="10">
        <f>IF(A90="","",IF(OR(C90="Etagenwohnung",I90="N"),0,ROUND(100*(3*IF(J90="J",1,IF(J90="N",0,0.5))+3*IF(K90="J",1,IF(K90="N",0,0.5))+2*IF(L90="J",1,IF(L90="N",0,0.5))+2*IF(M90="J",1,IF(M90="N",0,0.5))+1*IF(N90="J",1,IF(N90="N",0,0.5))+1*IF(O90="J",1,IF(O90="N",0,0.5))+1*IF(P90="J",1,IF(P90="N",0,0.5))+1*IF(Q90="J",1,IF(Q90="N",0,0.5))+2*IF(R90="J",1,IF(R90="N",0,0.5))+3*IF(S90="J",1,IF(S90="N",0,0.5)))/19,0)))</f>
        <v/>
      </c>
      <c r="G90" s="10" t="n"/>
      <c r="H90" s="8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>
        <f>IF(A90="","",IF(D90="","?",IF(D90&lt;=1250000,"J","N")))</f>
        <v/>
      </c>
      <c r="S90" s="10">
        <f>IF(A90="","",IF(E90="","?",IF(AND(E90&gt;=90,E90&lt;=115),"J","N")))</f>
        <v/>
      </c>
    </row>
    <row r="91">
      <c r="A91" s="8" t="n"/>
      <c r="B91" s="8" t="n"/>
      <c r="C91" s="8" t="n"/>
      <c r="D91" s="9" t="n"/>
      <c r="E91" s="10" t="n"/>
      <c r="F91" s="10">
        <f>IF(A91="","",IF(OR(C91="Etagenwohnung",I91="N"),0,ROUND(100*(3*IF(J91="J",1,IF(J91="N",0,0.5))+3*IF(K91="J",1,IF(K91="N",0,0.5))+2*IF(L91="J",1,IF(L91="N",0,0.5))+2*IF(M91="J",1,IF(M91="N",0,0.5))+1*IF(N91="J",1,IF(N91="N",0,0.5))+1*IF(O91="J",1,IF(O91="N",0,0.5))+1*IF(P91="J",1,IF(P91="N",0,0.5))+1*IF(Q91="J",1,IF(Q91="N",0,0.5))+2*IF(R91="J",1,IF(R91="N",0,0.5))+3*IF(S91="J",1,IF(S91="N",0,0.5)))/19,0)))</f>
        <v/>
      </c>
      <c r="G91" s="10" t="n"/>
      <c r="H91" s="8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>
        <f>IF(A91="","",IF(D91="","?",IF(D91&lt;=1250000,"J","N")))</f>
        <v/>
      </c>
      <c r="S91" s="10">
        <f>IF(A91="","",IF(E91="","?",IF(AND(E91&gt;=90,E91&lt;=115),"J","N")))</f>
        <v/>
      </c>
    </row>
    <row r="92">
      <c r="A92" s="8" t="n"/>
      <c r="B92" s="8" t="n"/>
      <c r="C92" s="8" t="n"/>
      <c r="D92" s="9" t="n"/>
      <c r="E92" s="10" t="n"/>
      <c r="F92" s="10">
        <f>IF(A92="","",IF(OR(C92="Etagenwohnung",I92="N"),0,ROUND(100*(3*IF(J92="J",1,IF(J92="N",0,0.5))+3*IF(K92="J",1,IF(K92="N",0,0.5))+2*IF(L92="J",1,IF(L92="N",0,0.5))+2*IF(M92="J",1,IF(M92="N",0,0.5))+1*IF(N92="J",1,IF(N92="N",0,0.5))+1*IF(O92="J",1,IF(O92="N",0,0.5))+1*IF(P92="J",1,IF(P92="N",0,0.5))+1*IF(Q92="J",1,IF(Q92="N",0,0.5))+2*IF(R92="J",1,IF(R92="N",0,0.5))+3*IF(S92="J",1,IF(S92="N",0,0.5)))/19,0)))</f>
        <v/>
      </c>
      <c r="G92" s="10" t="n"/>
      <c r="H92" s="8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>
        <f>IF(A92="","",IF(D92="","?",IF(D92&lt;=1250000,"J","N")))</f>
        <v/>
      </c>
      <c r="S92" s="10">
        <f>IF(A92="","",IF(E92="","?",IF(AND(E92&gt;=90,E92&lt;=115),"J","N")))</f>
        <v/>
      </c>
    </row>
    <row r="93">
      <c r="A93" s="8" t="n"/>
      <c r="B93" s="8" t="n"/>
      <c r="C93" s="8" t="n"/>
      <c r="D93" s="9" t="n"/>
      <c r="E93" s="10" t="n"/>
      <c r="F93" s="10">
        <f>IF(A93="","",IF(OR(C93="Etagenwohnung",I93="N"),0,ROUND(100*(3*IF(J93="J",1,IF(J93="N",0,0.5))+3*IF(K93="J",1,IF(K93="N",0,0.5))+2*IF(L93="J",1,IF(L93="N",0,0.5))+2*IF(M93="J",1,IF(M93="N",0,0.5))+1*IF(N93="J",1,IF(N93="N",0,0.5))+1*IF(O93="J",1,IF(O93="N",0,0.5))+1*IF(P93="J",1,IF(P93="N",0,0.5))+1*IF(Q93="J",1,IF(Q93="N",0,0.5))+2*IF(R93="J",1,IF(R93="N",0,0.5))+3*IF(S93="J",1,IF(S93="N",0,0.5)))/19,0)))</f>
        <v/>
      </c>
      <c r="G93" s="10" t="n"/>
      <c r="H93" s="8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>
        <f>IF(A93="","",IF(D93="","?",IF(D93&lt;=1250000,"J","N")))</f>
        <v/>
      </c>
      <c r="S93" s="10">
        <f>IF(A93="","",IF(E93="","?",IF(AND(E93&gt;=90,E93&lt;=115),"J","N")))</f>
        <v/>
      </c>
    </row>
    <row r="94">
      <c r="A94" s="8" t="n"/>
      <c r="B94" s="8" t="n"/>
      <c r="C94" s="8" t="n"/>
      <c r="D94" s="9" t="n"/>
      <c r="E94" s="10" t="n"/>
      <c r="F94" s="10">
        <f>IF(A94="","",IF(OR(C94="Etagenwohnung",I94="N"),0,ROUND(100*(3*IF(J94="J",1,IF(J94="N",0,0.5))+3*IF(K94="J",1,IF(K94="N",0,0.5))+2*IF(L94="J",1,IF(L94="N",0,0.5))+2*IF(M94="J",1,IF(M94="N",0,0.5))+1*IF(N94="J",1,IF(N94="N",0,0.5))+1*IF(O94="J",1,IF(O94="N",0,0.5))+1*IF(P94="J",1,IF(P94="N",0,0.5))+1*IF(Q94="J",1,IF(Q94="N",0,0.5))+2*IF(R94="J",1,IF(R94="N",0,0.5))+3*IF(S94="J",1,IF(S94="N",0,0.5)))/19,0)))</f>
        <v/>
      </c>
      <c r="G94" s="10" t="n"/>
      <c r="H94" s="8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>
        <f>IF(A94="","",IF(D94="","?",IF(D94&lt;=1250000,"J","N")))</f>
        <v/>
      </c>
      <c r="S94" s="10">
        <f>IF(A94="","",IF(E94="","?",IF(AND(E94&gt;=90,E94&lt;=115),"J","N")))</f>
        <v/>
      </c>
    </row>
    <row r="95">
      <c r="A95" s="8" t="n"/>
      <c r="B95" s="8" t="n"/>
      <c r="C95" s="8" t="n"/>
      <c r="D95" s="9" t="n"/>
      <c r="E95" s="10" t="n"/>
      <c r="F95" s="10">
        <f>IF(A95="","",IF(OR(C95="Etagenwohnung",I95="N"),0,ROUND(100*(3*IF(J95="J",1,IF(J95="N",0,0.5))+3*IF(K95="J",1,IF(K95="N",0,0.5))+2*IF(L95="J",1,IF(L95="N",0,0.5))+2*IF(M95="J",1,IF(M95="N",0,0.5))+1*IF(N95="J",1,IF(N95="N",0,0.5))+1*IF(O95="J",1,IF(O95="N",0,0.5))+1*IF(P95="J",1,IF(P95="N",0,0.5))+1*IF(Q95="J",1,IF(Q95="N",0,0.5))+2*IF(R95="J",1,IF(R95="N",0,0.5))+3*IF(S95="J",1,IF(S95="N",0,0.5)))/19,0)))</f>
        <v/>
      </c>
      <c r="G95" s="10" t="n"/>
      <c r="H95" s="8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>
        <f>IF(A95="","",IF(D95="","?",IF(D95&lt;=1250000,"J","N")))</f>
        <v/>
      </c>
      <c r="S95" s="10">
        <f>IF(A95="","",IF(E95="","?",IF(AND(E95&gt;=90,E95&lt;=115),"J","N")))</f>
        <v/>
      </c>
    </row>
    <row r="96">
      <c r="A96" s="8" t="n"/>
      <c r="B96" s="8" t="n"/>
      <c r="C96" s="8" t="n"/>
      <c r="D96" s="9" t="n"/>
      <c r="E96" s="10" t="n"/>
      <c r="F96" s="10">
        <f>IF(A96="","",IF(OR(C96="Etagenwohnung",I96="N"),0,ROUND(100*(3*IF(J96="J",1,IF(J96="N",0,0.5))+3*IF(K96="J",1,IF(K96="N",0,0.5))+2*IF(L96="J",1,IF(L96="N",0,0.5))+2*IF(M96="J",1,IF(M96="N",0,0.5))+1*IF(N96="J",1,IF(N96="N",0,0.5))+1*IF(O96="J",1,IF(O96="N",0,0.5))+1*IF(P96="J",1,IF(P96="N",0,0.5))+1*IF(Q96="J",1,IF(Q96="N",0,0.5))+2*IF(R96="J",1,IF(R96="N",0,0.5))+3*IF(S96="J",1,IF(S96="N",0,0.5)))/19,0)))</f>
        <v/>
      </c>
      <c r="G96" s="10" t="n"/>
      <c r="H96" s="8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>
        <f>IF(A96="","",IF(D96="","?",IF(D96&lt;=1250000,"J","N")))</f>
        <v/>
      </c>
      <c r="S96" s="10">
        <f>IF(A96="","",IF(E96="","?",IF(AND(E96&gt;=90,E96&lt;=115),"J","N")))</f>
        <v/>
      </c>
    </row>
    <row r="97">
      <c r="A97" s="8" t="n"/>
      <c r="B97" s="8" t="n"/>
      <c r="C97" s="8" t="n"/>
      <c r="D97" s="9" t="n"/>
      <c r="E97" s="10" t="n"/>
      <c r="F97" s="10">
        <f>IF(A97="","",IF(OR(C97="Etagenwohnung",I97="N"),0,ROUND(100*(3*IF(J97="J",1,IF(J97="N",0,0.5))+3*IF(K97="J",1,IF(K97="N",0,0.5))+2*IF(L97="J",1,IF(L97="N",0,0.5))+2*IF(M97="J",1,IF(M97="N",0,0.5))+1*IF(N97="J",1,IF(N97="N",0,0.5))+1*IF(O97="J",1,IF(O97="N",0,0.5))+1*IF(P97="J",1,IF(P97="N",0,0.5))+1*IF(Q97="J",1,IF(Q97="N",0,0.5))+2*IF(R97="J",1,IF(R97="N",0,0.5))+3*IF(S97="J",1,IF(S97="N",0,0.5)))/19,0)))</f>
        <v/>
      </c>
      <c r="G97" s="10" t="n"/>
      <c r="H97" s="8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>
        <f>IF(A97="","",IF(D97="","?",IF(D97&lt;=1250000,"J","N")))</f>
        <v/>
      </c>
      <c r="S97" s="10">
        <f>IF(A97="","",IF(E97="","?",IF(AND(E97&gt;=90,E97&lt;=115),"J","N")))</f>
        <v/>
      </c>
    </row>
    <row r="98">
      <c r="A98" s="8" t="n"/>
      <c r="B98" s="8" t="n"/>
      <c r="C98" s="8" t="n"/>
      <c r="D98" s="9" t="n"/>
      <c r="E98" s="10" t="n"/>
      <c r="F98" s="10">
        <f>IF(A98="","",IF(OR(C98="Etagenwohnung",I98="N"),0,ROUND(100*(3*IF(J98="J",1,IF(J98="N",0,0.5))+3*IF(K98="J",1,IF(K98="N",0,0.5))+2*IF(L98="J",1,IF(L98="N",0,0.5))+2*IF(M98="J",1,IF(M98="N",0,0.5))+1*IF(N98="J",1,IF(N98="N",0,0.5))+1*IF(O98="J",1,IF(O98="N",0,0.5))+1*IF(P98="J",1,IF(P98="N",0,0.5))+1*IF(Q98="J",1,IF(Q98="N",0,0.5))+2*IF(R98="J",1,IF(R98="N",0,0.5))+3*IF(S98="J",1,IF(S98="N",0,0.5)))/19,0)))</f>
        <v/>
      </c>
      <c r="G98" s="10" t="n"/>
      <c r="H98" s="8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>
        <f>IF(A98="","",IF(D98="","?",IF(D98&lt;=1250000,"J","N")))</f>
        <v/>
      </c>
      <c r="S98" s="10">
        <f>IF(A98="","",IF(E98="","?",IF(AND(E98&gt;=90,E98&lt;=115),"J","N")))</f>
        <v/>
      </c>
    </row>
    <row r="99">
      <c r="A99" s="8" t="n"/>
      <c r="B99" s="8" t="n"/>
      <c r="C99" s="8" t="n"/>
      <c r="D99" s="9" t="n"/>
      <c r="E99" s="10" t="n"/>
      <c r="F99" s="10">
        <f>IF(A99="","",IF(OR(C99="Etagenwohnung",I99="N"),0,ROUND(100*(3*IF(J99="J",1,IF(J99="N",0,0.5))+3*IF(K99="J",1,IF(K99="N",0,0.5))+2*IF(L99="J",1,IF(L99="N",0,0.5))+2*IF(M99="J",1,IF(M99="N",0,0.5))+1*IF(N99="J",1,IF(N99="N",0,0.5))+1*IF(O99="J",1,IF(O99="N",0,0.5))+1*IF(P99="J",1,IF(P99="N",0,0.5))+1*IF(Q99="J",1,IF(Q99="N",0,0.5))+2*IF(R99="J",1,IF(R99="N",0,0.5))+3*IF(S99="J",1,IF(S99="N",0,0.5)))/19,0)))</f>
        <v/>
      </c>
      <c r="G99" s="10" t="n"/>
      <c r="H99" s="8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>
        <f>IF(A99="","",IF(D99="","?",IF(D99&lt;=1250000,"J","N")))</f>
        <v/>
      </c>
      <c r="S99" s="10">
        <f>IF(A99="","",IF(E99="","?",IF(AND(E99&gt;=90,E99&lt;=115),"J","N")))</f>
        <v/>
      </c>
    </row>
    <row r="100">
      <c r="A100" s="8" t="n"/>
      <c r="B100" s="8" t="n"/>
      <c r="C100" s="8" t="n"/>
      <c r="D100" s="9" t="n"/>
      <c r="E100" s="10" t="n"/>
      <c r="F100" s="10">
        <f>IF(A100="","",IF(OR(C100="Etagenwohnung",I100="N"),0,ROUND(100*(3*IF(J100="J",1,IF(J100="N",0,0.5))+3*IF(K100="J",1,IF(K100="N",0,0.5))+2*IF(L100="J",1,IF(L100="N",0,0.5))+2*IF(M100="J",1,IF(M100="N",0,0.5))+1*IF(N100="J",1,IF(N100="N",0,0.5))+1*IF(O100="J",1,IF(O100="N",0,0.5))+1*IF(P100="J",1,IF(P100="N",0,0.5))+1*IF(Q100="J",1,IF(Q100="N",0,0.5))+2*IF(R100="J",1,IF(R100="N",0,0.5))+3*IF(S100="J",1,IF(S100="N",0,0.5)))/19,0)))</f>
        <v/>
      </c>
      <c r="G100" s="10" t="n"/>
      <c r="H100" s="8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>
        <f>IF(A100="","",IF(D100="","?",IF(D100&lt;=1250000,"J","N")))</f>
        <v/>
      </c>
      <c r="S100" s="10">
        <f>IF(A100="","",IF(E100="","?",IF(AND(E100&gt;=90,E100&lt;=115),"J","N")))</f>
        <v/>
      </c>
    </row>
  </sheetData>
  <autoFilter ref="A1:S100"/>
  <conditionalFormatting sqref="F2:F10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S100">
    <cfRule type="cellIs" priority="2" operator="equal" dxfId="0">
      <formula>"J"</formula>
    </cfRule>
    <cfRule type="cellIs" priority="3" operator="equal" dxfId="1">
      <formula>"N"</formula>
    </cfRule>
  </conditionalFormatting>
  <conditionalFormatting sqref="G2:G100">
    <cfRule type="cellIs" priority="4" operator="equal" dxfId="2">
      <formula>"Interessant"</formula>
    </cfRule>
    <cfRule type="cellIs" priority="5" operator="equal" dxfId="3">
      <formula>"Vielleicht"</formula>
    </cfRule>
    <cfRule type="cellIs" priority="6" operator="equal" dxfId="4">
      <formula>"Absage"</formula>
    </cfRule>
  </conditionalFormatting>
  <dataValidations count="3">
    <dataValidation sqref="C2:C100" showDropDown="0" showInputMessage="0" showErrorMessage="0" allowBlank="1" type="list">
      <formula1>"Penthouse,Dachgeschoss,Etagenwohnung,Erdgeschoss/Garten,?"</formula1>
    </dataValidation>
    <dataValidation sqref="I2:I100 J2:J100 K2:K100 L2:L100 M2:M100 N2:N100 O2:O100 P2:P100 Q2:Q100" showDropDown="0" showInputMessage="0" showErrorMessage="0" allowBlank="1" type="list">
      <formula1>"J,N,?"</formula1>
    </dataValidation>
    <dataValidation sqref="G2:G100" showDropDown="0" showInputMessage="0" showErrorMessage="0" allowBlank="1" type="list">
      <formula1>"Interessant,Vielleicht,Absage,offen"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t="inlineStr">
        <is>
          <t>Übersicht: 1 Zeile pro Makler, Spalte „Stand“ per Auswahlliste; Filter oben in jeder Spalte.</t>
        </is>
      </c>
    </row>
    <row r="2">
      <c r="A2" t="inlineStr">
        <is>
          <t>Angebote: J / N / ? je Kriterium, Score 0–100 rechnet sich selbst (J = voll, ? = halb, N = 0).</t>
        </is>
      </c>
    </row>
    <row r="3">
      <c r="A3" t="inlineStr">
        <is>
          <t>K.O. (Score 0): Typ = Etagenwohnung oder Aufzug = N.</t>
        </is>
      </c>
    </row>
    <row r="4">
      <c r="A4" t="inlineStr">
        <is>
          <t>Gewichte: Südterrasse ×3, Lage im Suchraum ×3, Gesundheit/Fitness ×2, Neubau/gepflegt ×2, Fußbodenheizung ×1, Tiefgarage+Ladestation ×1, Keller ×1, ruhig ×1, Preis im Rahmen ×2, Größe ca. 100 ×3</t>
        </is>
      </c>
    </row>
    <row r="5">
      <c r="A5" t="inlineStr">
        <is>
          <t>Preis im Rahmen: bis 1.250.000 €. Größe ca. 100: 90–115 m².</t>
        </is>
      </c>
    </row>
    <row r="6">
      <c r="A6" t="inlineStr">
        <is>
          <t>Kriterien-Spalten (I–S) lassen sich über das [–] oben einklappen.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2026-10-15T10:36:44Z</dcterms:created>
  <dcterms:modified xmlns:dcterms="http://purl.org/dc/terms/" xmlns:xsi="http://www.w3.org/2001/XMLSchema-instance" xsi:type="dcterms:W3CDTF">2026-10-15T10:36:44Z</dcterms:modified>
</cp:coreProperties>
</file>