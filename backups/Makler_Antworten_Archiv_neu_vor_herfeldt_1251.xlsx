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'Übersicht'!$A$1:$F$14</definedName>
    <definedName name="_xlnm._FilterDatabase" localSheetId="1" hidden="1">'Angebote'!$A$1:$S$100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Schneider &amp; Prell Immobilientreuhand</t>
        </is>
      </c>
      <c r="B6" s="3" t="inlineStr">
        <is>
          <t>Wolfratshausen · Fr. Pfeiffer</t>
        </is>
      </c>
      <c r="C6" s="3" t="inlineStr">
        <is>
          <t>h.pfeiffer@schneider-prell.de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14.10. Kontaktformular ausgefüllt (Anschrift, Festnetz)</t>
        </is>
      </c>
    </row>
    <row r="7">
      <c r="A7" s="2" t="inlineStr">
        <is>
          <t>FT Immobilien 24</t>
        </is>
      </c>
      <c r="B7" s="3" t="inlineStr">
        <is>
          <t>Unterföhring · Hr. Tortorici</t>
        </is>
      </c>
      <c r="C7" s="3" t="inlineStr">
        <is>
          <t>kontakt@ftimmobilien24.com</t>
        </is>
      </c>
      <c r="D7" s="4" t="inlineStr">
        <is>
          <t>Wartet auf Objekte</t>
        </is>
      </c>
      <c r="E7" s="3" t="inlineStr">
        <is>
          <t>—</t>
        </is>
      </c>
      <c r="F7" s="3" t="inlineStr">
        <is>
          <t>14.10. in Interessentenkartei aufgenommen</t>
        </is>
      </c>
    </row>
    <row r="8">
      <c r="A8" s="2" t="inlineStr">
        <is>
          <t>Engel &amp; Völkers Starnberg</t>
        </is>
      </c>
      <c r="B8" s="3" t="inlineStr">
        <is>
          <t>Starnberg</t>
        </is>
      </c>
      <c r="C8" s="3" t="inlineStr">
        <is>
          <t>contact@ (Ersatz-Adresse)</t>
        </is>
      </c>
      <c r="D8" s="4" t="inlineStr">
        <is>
          <t>Wartet auf Antwort</t>
        </is>
      </c>
      <c r="E8" s="3" t="inlineStr">
        <is>
          <t>—</t>
        </is>
      </c>
      <c r="F8" s="3" t="inlineStr">
        <is>
          <t>15.10. Voranfrage v4 an Ersatz-Adresse gesendet (alte Mail unzustellbar)</t>
        </is>
      </c>
    </row>
    <row r="9">
      <c r="A9" s="2" t="inlineStr">
        <is>
          <t>Engel &amp; Völkers München West</t>
        </is>
      </c>
      <c r="B9" s="3" t="inlineStr">
        <is>
          <t>Germering</t>
        </is>
      </c>
      <c r="C9" s="3" t="inlineStr">
        <is>
          <t>nur Kontaktformular</t>
        </is>
      </c>
      <c r="D9" s="5" t="inlineStr">
        <is>
          <t>Formular manuell</t>
        </is>
      </c>
      <c r="E9" s="3" t="inlineStr">
        <is>
          <t>Formular selbst absenden (Captcha) – Text: scratch/makler_formulare_20261014/formular_text.txt</t>
        </is>
      </c>
      <c r="F9" s="3" t="inlineStr">
        <is>
          <t>14.10. Formular-Versuch: Captcha</t>
        </is>
      </c>
    </row>
    <row r="10">
      <c r="A10" s="2" t="inlineStr">
        <is>
          <t>Engel &amp; Völkers Münchner Westen</t>
        </is>
      </c>
      <c r="B10" s="3" t="inlineStr">
        <is>
          <t>Gräfelfing</t>
        </is>
      </c>
      <c r="C10" s="3" t="inlineStr">
        <is>
          <t>nur Kontaktformular</t>
        </is>
      </c>
      <c r="D10" s="5" t="inlineStr">
        <is>
          <t>Formular manuell</t>
        </is>
      </c>
      <c r="E10" s="3" t="inlineStr">
        <is>
          <t>Formular selbst absenden (Captcha)</t>
        </is>
      </c>
      <c r="F10" s="3" t="inlineStr">
        <is>
          <t>14.10. Formular-Versuch: Captcha</t>
        </is>
      </c>
    </row>
    <row r="11">
      <c r="A11" s="2" t="inlineStr">
        <is>
          <t>Engel &amp; Völkers Ostallgäu – Maria Platz</t>
        </is>
      </c>
      <c r="B11" s="3" t="inlineStr">
        <is>
          <t>Ostallgäu</t>
        </is>
      </c>
      <c r="C11" s="3" t="inlineStr">
        <is>
          <t>nur Kontaktformular</t>
        </is>
      </c>
      <c r="D11" s="5" t="inlineStr">
        <is>
          <t>Formular manuell</t>
        </is>
      </c>
      <c r="E11" s="3" t="inlineStr">
        <is>
          <t>Formular selbst absenden (Captcha)</t>
        </is>
      </c>
      <c r="F11" s="3" t="inlineStr">
        <is>
          <t>14.10. Formular-Versuch: Captcha</t>
        </is>
      </c>
    </row>
    <row r="12">
      <c r="A12" s="2" t="inlineStr">
        <is>
          <t>VON POLL IMMOBILIEN Füssen</t>
        </is>
      </c>
      <c r="B12" s="3" t="inlineStr">
        <is>
          <t>Füssen</t>
        </is>
      </c>
      <c r="C12" s="3" t="inlineStr">
        <is>
          <t>nur Kontaktformular</t>
        </is>
      </c>
      <c r="D12" s="5" t="inlineStr">
        <is>
          <t>Formular manuell</t>
        </is>
      </c>
      <c r="E12" s="3" t="inlineStr">
        <is>
          <t>Formular selbst absenden (Bot-Schutz 403)</t>
        </is>
      </c>
      <c r="F12" s="3" t="inlineStr">
        <is>
          <t>14.10. Formular-Versuch: blockt Automat</t>
        </is>
      </c>
    </row>
    <row r="13">
      <c r="A13" s="2" t="inlineStr">
        <is>
          <t>RE/MAX Immobilien Bad Tölz</t>
        </is>
      </c>
      <c r="B13" s="3" t="inlineStr">
        <is>
          <t>Bad Tölz</t>
        </is>
      </c>
      <c r="C13" s="3" t="inlineStr">
        <is>
          <t>nur Kontaktformular</t>
        </is>
      </c>
      <c r="D13" s="5" t="inlineStr">
        <is>
          <t>Formular manuell</t>
        </is>
      </c>
      <c r="E13" s="3" t="inlineStr">
        <is>
          <t>Formular selbst absenden (Security Verification)</t>
        </is>
      </c>
      <c r="F13" s="3" t="inlineStr">
        <is>
          <t>14.10. Formular-Versuch: blockt Automat</t>
        </is>
      </c>
    </row>
    <row r="14">
      <c r="A14" s="2" t="inlineStr">
        <is>
          <t>Aigner Immobilien</t>
        </is>
      </c>
      <c r="B14" s="3" t="inlineStr">
        <is>
          <t>München Sendling · Fr. Becker</t>
        </is>
      </c>
      <c r="C14" s="3" t="inlineStr">
        <is>
          <t>info@aigner-immobilien.de</t>
        </is>
      </c>
      <c r="D14" s="6" t="inlineStr">
        <is>
          <t>Absage</t>
        </is>
      </c>
      <c r="E14" s="3" t="inlineStr">
        <is>
          <t>—</t>
        </is>
      </c>
      <c r="F14" s="3" t="inlineStr">
        <is>
          <t>14.10. Absage gesendet (Obermenzing = Etagenwohnung, No-Go)</t>
        </is>
      </c>
    </row>
  </sheetData>
  <autoFilter ref="A1:F14"/>
  <dataValidations count="1">
    <dataValidation sqref="D2:D34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19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)/19,0)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)/19,0)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</row>
    <row r="4">
      <c r="A4" s="8" t="n"/>
      <c r="B4" s="8" t="n"/>
      <c r="C4" s="8" t="n"/>
      <c r="D4" s="9" t="n"/>
      <c r="E4" s="10" t="n"/>
      <c r="F4" s="10">
        <f>IF(A4="","",IF(OR(C4="Etagenwohnung",I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)/19,0)))</f>
        <v/>
      </c>
      <c r="G4" s="10" t="n"/>
      <c r="H4" s="8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>
        <f>IF(A4="","",IF(D4="","?",IF(D4&lt;=1250000,"J","N")))</f>
        <v/>
      </c>
      <c r="S4" s="10">
        <f>IF(A4="","",IF(E4="","?",IF(AND(E4&gt;=90,E4&lt;=115),"J","N")))</f>
        <v/>
      </c>
    </row>
    <row r="5">
      <c r="A5" s="8" t="n"/>
      <c r="B5" s="8" t="n"/>
      <c r="C5" s="8" t="n"/>
      <c r="D5" s="9" t="n"/>
      <c r="E5" s="10" t="n"/>
      <c r="F5" s="10">
        <f>IF(A5="","",IF(OR(C5="Etagenwohnung",I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)/19,0)))</f>
        <v/>
      </c>
      <c r="G5" s="10" t="n"/>
      <c r="H5" s="8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>
        <f>IF(A5="","",IF(D5="","?",IF(D5&lt;=1250000,"J","N")))</f>
        <v/>
      </c>
      <c r="S5" s="10">
        <f>IF(A5="","",IF(E5="","?",IF(AND(E5&gt;=90,E5&lt;=115),"J","N")))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)/19,0)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)/19,0)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)/19,0)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)/19,0)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)/19,0)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)/19,0)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)/19,0)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)/19,0)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)/19,0)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)/19,0)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)/19,0)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)/19,0)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)/19,0)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)/19,0)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)/19,0)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)/19,0)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)/19,0)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)/19,0)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)/19,0)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)/19,0)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)/19,0)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)/19,0)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)/19,0)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)/19,0)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)/19,0)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)/19,0)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)/19,0)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)/19,0)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)/19,0)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)/19,0)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)/19,0)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)/19,0)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)/19,0)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)/19,0)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)/19,0)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)/19,0)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)/19,0)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)/19,0)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)/19,0)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)/19,0)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)/19,0)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)/19,0)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)/19,0)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)/19,0)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)/19,0)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)/19,0)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)/19,0)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)/19,0)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)/19,0)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)/19,0)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)/19,0)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)/19,0)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)/19,0)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)/19,0)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)/19,0)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)/19,0)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)/19,0)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)/19,0)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)/19,0)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)/19,0)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)/19,0)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)/19,0)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)/19,0)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)/19,0)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)/19,0)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)/19,0)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)/19,0)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)/19,0)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)/19,0)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)/19,0)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)/19,0)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)/19,0)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)/19,0)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)/19,0)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)/19,0)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)/19,0)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)/19,0)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)/19,0)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)/19,0)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)/19,0)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)/19,0)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)/19,0)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)/19,0)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)/19,0)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)/19,0)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)/19,0)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)/19,0)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)/19,0)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)/19,0)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)/19,0)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)/19,0)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)/19,0)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)/19,0)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)/19,0)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)/19,0)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</row>
  </sheetData>
  <autoFilter ref="A1:S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S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 oder Aufzug = N.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2026-10-15T10:44:43Z</dcterms:created>
  <dcterms:modified xmlns:dcterms="http://purl.org/dc/terms/" xmlns:xsi="http://www.w3.org/2001/XMLSchema-instance" xsi:type="dcterms:W3CDTF">2026-10-15T10:44:44Z</dcterms:modified>
</cp:coreProperties>
</file>