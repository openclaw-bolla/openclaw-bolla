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kler-Antworten" sheetId="1" state="visible" r:id="rId1"/>
    <sheet xmlns:r="http://schemas.openxmlformats.org/officeDocument/2006/relationships" name="Angebote &amp; Wertung" sheetId="2" state="visible" r:id="rId2"/>
    <sheet xmlns:r="http://schemas.openxmlformats.org/officeDocument/2006/relationships" name="So funktioniert'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5">
    <dxf>
      <fill>
        <patternFill patternType="solid">
          <bgColor rgb="00C6EFCE"/>
        </patternFill>
      </fill>
    </dxf>
    <dxf>
      <fill>
        <patternFill patternType="solid">
          <bgColor rgb="00FFC7CE"/>
        </patternFill>
      </fill>
    </dxf>
    <dxf>
      <fill>
        <patternFill patternType="solid">
          <bgColor rgb="0063BE7B"/>
        </patternFill>
      </fill>
    </dxf>
    <dxf>
      <fill>
        <patternFill patternType="solid">
          <bgColor rgb="00FFEB84"/>
        </patternFill>
      </fill>
    </dxf>
    <dxf>
      <fill>
        <patternFill patternType="solid">
          <bgColor rgb="00F869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34" customWidth="1" min="2" max="2"/>
    <col width="30" customWidth="1" min="3" max="3"/>
    <col width="34" customWidth="1" min="4" max="4"/>
    <col width="60" customWidth="1" min="5" max="5"/>
    <col width="52" customWidth="1" min="6" max="6"/>
    <col width="14" customWidth="1" min="7" max="7"/>
  </cols>
  <sheetData>
    <row r="1">
      <c r="A1" s="1" t="inlineStr">
        <is>
          <t>Eingang</t>
        </is>
      </c>
      <c r="B1" s="1" t="inlineStr">
        <is>
          <t>Makler</t>
        </is>
      </c>
      <c r="C1" s="1" t="inlineStr">
        <is>
          <t>Ort / Kontakt</t>
        </is>
      </c>
      <c r="D1" s="1" t="inlineStr">
        <is>
          <t>Absender</t>
        </is>
      </c>
      <c r="E1" s="1" t="inlineStr">
        <is>
          <t>Was sie schreiben</t>
        </is>
      </c>
      <c r="F1" s="1" t="inlineStr">
        <is>
          <t>Unsere Reaktion</t>
        </is>
      </c>
      <c r="G1" s="1" t="inlineStr">
        <is>
          <t>Stand</t>
        </is>
      </c>
    </row>
    <row r="2">
      <c r="A2" s="2" t="inlineStr">
        <is>
          <t>14.10.2026 13:50</t>
        </is>
      </c>
      <c r="B2" s="2" t="inlineStr">
        <is>
          <t>LOEGER Immobilien</t>
        </is>
      </c>
      <c r="C2" s="2" t="inlineStr">
        <is>
          <t>Tutzing · Fr. Löger-Hohenwarter</t>
        </is>
      </c>
      <c r="D2" s="2" t="inlineStr">
        <is>
          <t>info@loeger.de</t>
        </is>
      </c>
      <c r="E2" s="2" t="inlineStr">
        <is>
          <t>Erstellt gern ein Suchprofil; braucht Anschrift + Kaufpreisvorstellung</t>
        </is>
      </c>
      <c r="F2" s="2" t="inlineStr">
        <is>
          <t>14:23 Anschrift + 750–1.250 Tsd € gesendet</t>
        </is>
      </c>
      <c r="G2" s="2" t="inlineStr">
        <is>
          <t>erledigt</t>
        </is>
      </c>
    </row>
    <row r="3">
      <c r="A3" s="2" t="inlineStr">
        <is>
          <t>14.10.2026 14:07</t>
        </is>
      </c>
      <c r="B3" s="2" t="inlineStr">
        <is>
          <t>FT Immobilien 24</t>
        </is>
      </c>
      <c r="C3" s="2" t="inlineStr">
        <is>
          <t>Unterföhring · Hr. Tortorici</t>
        </is>
      </c>
      <c r="D3" s="2" t="inlineStr">
        <is>
          <t>kontakt@ftimmobilien24.com</t>
        </is>
      </c>
      <c r="E3" s="2" t="inlineStr">
        <is>
          <t>In Interessentenkartei aufgenommen</t>
        </is>
      </c>
      <c r="F3" s="2" t="inlineStr">
        <is>
          <t>keine nötig</t>
        </is>
      </c>
      <c r="G3" s="2" t="inlineStr">
        <is>
          <t>erledigt</t>
        </is>
      </c>
    </row>
    <row r="4">
      <c r="A4" s="2" t="inlineStr">
        <is>
          <t>14.10.2026 14:33</t>
        </is>
      </c>
      <c r="B4" s="2" t="inlineStr">
        <is>
          <t>SEDLMAYR Immobilien</t>
        </is>
      </c>
      <c r="C4" s="2" t="inlineStr">
        <is>
          <t>Andechs · Fr. Matthern</t>
        </is>
      </c>
      <c r="D4" s="2" t="inlineStr">
        <is>
          <t>info@sedlmayr-immo.de</t>
        </is>
      </c>
      <c r="E4" s="2" t="inlineStr">
        <is>
          <t>Aufnahme; 2. Mail mit Link zum Online-Suchprofil</t>
        </is>
      </c>
      <c r="F4" s="2" t="inlineStr">
        <is>
          <t>Online-Suchprofil ausgefüllt (Weilheim +50 km, Wohnung 90–110 m², 750–1.250 Tsd €)</t>
        </is>
      </c>
      <c r="G4" s="2" t="inlineStr">
        <is>
          <t>erledigt</t>
        </is>
      </c>
    </row>
    <row r="5">
      <c r="A5" s="2" t="inlineStr">
        <is>
          <t>14.10.2026 14:45</t>
        </is>
      </c>
      <c r="B5" s="2" t="inlineStr">
        <is>
          <t>Kreissparkasse München Starnberg Ebersberg</t>
        </is>
      </c>
      <c r="C5" s="2" t="inlineStr">
        <is>
          <t>ImmobilienServiceCenter · Fr. Beißengroll</t>
        </is>
      </c>
      <c r="D5" s="2" t="inlineStr">
        <is>
          <t>jennifer.beissengroll@kskmse.de</t>
        </is>
      </c>
      <c r="E5" s="2" t="inlineStr">
        <is>
          <t>Aufnahme in Gesuchdatei; braucht Kontaktdaten + Preisvorstellung</t>
        </is>
      </c>
      <c r="F5" s="2" t="inlineStr">
        <is>
          <t>17:02 Kontaktdaten (ohne Tel.) + Preisrahmen gesendet</t>
        </is>
      </c>
      <c r="G5" s="2" t="inlineStr">
        <is>
          <t>erledigt</t>
        </is>
      </c>
    </row>
    <row r="6">
      <c r="A6" s="2" t="inlineStr">
        <is>
          <t>14.10.2026 14:59</t>
        </is>
      </c>
      <c r="B6" s="2" t="inlineStr">
        <is>
          <t>Schneider &amp; Prell Immobilientreuhand</t>
        </is>
      </c>
      <c r="C6" s="2" t="inlineStr">
        <is>
          <t>Wolfratshausen · Fr. Pfeiffer</t>
        </is>
      </c>
      <c r="D6" s="2" t="inlineStr">
        <is>
          <t>h.pfeiffer@schneider-prell.de</t>
        </is>
      </c>
      <c r="E6" s="2" t="inlineStr">
        <is>
          <t>Bittet um Vervollständigung der Kontaktdaten per Online-Link</t>
        </is>
      </c>
      <c r="F6" s="2" t="inlineStr">
        <is>
          <t>Formular ausgefüllt (Anschrift, Festnetz)</t>
        </is>
      </c>
      <c r="G6" s="2" t="inlineStr">
        <is>
          <t>erledigt</t>
        </is>
      </c>
    </row>
    <row r="7">
      <c r="A7" s="2" t="inlineStr">
        <is>
          <t>14.10.2026 15:21</t>
        </is>
      </c>
      <c r="B7" s="2" t="inlineStr">
        <is>
          <t>LOEGER Immobilien</t>
        </is>
      </c>
      <c r="C7" s="2" t="inlineStr">
        <is>
          <t>Tutzing</t>
        </is>
      </c>
      <c r="D7" s="2" t="inlineStr">
        <is>
          <t>info@loeger.de</t>
        </is>
      </c>
      <c r="E7" s="2" t="inlineStr">
        <is>
          <t>Suchprofil erstellt, melden sich bei passendem Objekt</t>
        </is>
      </c>
      <c r="F7" s="2" t="inlineStr">
        <is>
          <t>keine nötig</t>
        </is>
      </c>
      <c r="G7" s="2" t="inlineStr">
        <is>
          <t>erledigt</t>
        </is>
      </c>
    </row>
    <row r="8">
      <c r="A8" s="2" t="inlineStr">
        <is>
          <t>14.10.2026 15:40</t>
        </is>
      </c>
      <c r="B8" s="2" t="inlineStr">
        <is>
          <t>Aigner Immobilien</t>
        </is>
      </c>
      <c r="C8" s="2" t="inlineStr">
        <is>
          <t>München Sendling · Fr. Becker</t>
        </is>
      </c>
      <c r="D8" s="2" t="inlineStr">
        <is>
          <t>info@aigner-immobilien.de</t>
        </is>
      </c>
      <c r="E8" s="2" t="inlineStr">
        <is>
          <t>Braucht Telefonnummer, Postanschrift, max. Kaufpreis für Exposé-Versand</t>
        </is>
      </c>
      <c r="F8" s="2" t="inlineStr">
        <is>
          <t>Kontaktdaten + Festnetz + Preisrahmen gesendet; 14.10. abends: höfliche Absage (Etagenwohnung = No-Go, Aufzug Pflicht)</t>
        </is>
      </c>
      <c r="G8" s="2" t="inlineStr">
        <is>
          <t>erledigt</t>
        </is>
      </c>
    </row>
    <row r="9">
      <c r="A9" s="3" t="inlineStr">
        <is>
          <t>—</t>
        </is>
      </c>
      <c r="B9" s="3" t="inlineStr">
        <is>
          <t>Engel &amp; Völkers Starnberg</t>
        </is>
      </c>
      <c r="C9" s="3" t="inlineStr">
        <is>
          <t>Starnberg</t>
        </is>
      </c>
      <c r="D9" s="3" t="inlineStr">
        <is>
          <t>Kontaktformular (Mail unzustellbar)</t>
        </is>
      </c>
      <c r="E9" s="3" t="inlineStr">
        <is>
          <t>Keine Mail-Adresse – Voranfrage per Formular nötig</t>
        </is>
      </c>
      <c r="F9" s="3" t="inlineStr">
        <is>
          <t>Formular-Versuch 14.10.2026: Anti-Roboter-Captcha (E&amp;V-Formular, FriendlyCaptcha); manuell nötig</t>
        </is>
      </c>
      <c r="G9" s="3" t="inlineStr">
        <is>
          <t>manuell nötig</t>
        </is>
      </c>
    </row>
    <row r="10">
      <c r="A10" s="3" t="inlineStr">
        <is>
          <t>—</t>
        </is>
      </c>
      <c r="B10" s="3" t="inlineStr">
        <is>
          <t>Engel &amp; Völkers München West</t>
        </is>
      </c>
      <c r="C10" s="3" t="inlineStr">
        <is>
          <t>Germering</t>
        </is>
      </c>
      <c r="D10" s="3" t="inlineStr">
        <is>
          <t>Kontaktformular (keine Mail)</t>
        </is>
      </c>
      <c r="E10" s="3" t="inlineStr">
        <is>
          <t>Keine Mail-Adresse – Voranfrage per Formular nötig</t>
        </is>
      </c>
      <c r="F10" s="3" t="inlineStr">
        <is>
          <t>Formular-Versuch 14.10.2026: Anti-Roboter-Captcha (FriendlyCaptcha) nach Abschicken – nicht gesendet; manuell nötig</t>
        </is>
      </c>
      <c r="G10" s="3" t="inlineStr">
        <is>
          <t>manuell nötig</t>
        </is>
      </c>
    </row>
    <row r="11">
      <c r="A11" s="3" t="inlineStr">
        <is>
          <t>—</t>
        </is>
      </c>
      <c r="B11" s="3" t="inlineStr">
        <is>
          <t>Engel &amp; Völkers Münchner Westen</t>
        </is>
      </c>
      <c r="C11" s="3" t="inlineStr">
        <is>
          <t>Gräfelfing</t>
        </is>
      </c>
      <c r="D11" s="3" t="inlineStr">
        <is>
          <t>Kontaktformular (keine Mail)</t>
        </is>
      </c>
      <c r="E11" s="3" t="inlineStr">
        <is>
          <t>Keine Mail-Adresse – Voranfrage per Formular nötig</t>
        </is>
      </c>
      <c r="F11" s="3" t="inlineStr">
        <is>
          <t>Formular-Versuch 14.10.2026: Anti-Roboter-Captcha (E&amp;V-Plattform) – nicht gesendet; manuell nötig</t>
        </is>
      </c>
      <c r="G11" s="3" t="inlineStr">
        <is>
          <t>manuell nötig</t>
        </is>
      </c>
    </row>
    <row r="12">
      <c r="A12" s="3" t="inlineStr">
        <is>
          <t>—</t>
        </is>
      </c>
      <c r="B12" s="3" t="inlineStr">
        <is>
          <t>Engel &amp; Völkers Ostallgäu – Maria Platz</t>
        </is>
      </c>
      <c r="C12" s="3" t="inlineStr">
        <is>
          <t>Ostallgäu</t>
        </is>
      </c>
      <c r="D12" s="3" t="inlineStr">
        <is>
          <t>Kontaktformular (keine Mail)</t>
        </is>
      </c>
      <c r="E12" s="3" t="inlineStr">
        <is>
          <t>Keine Mail-Adresse – Voranfrage per Formular nötig</t>
        </is>
      </c>
      <c r="F12" s="3" t="inlineStr">
        <is>
          <t>Formular-Versuch 14.10.2026: Anti-Roboter-Captcha (E&amp;V-Plattform) – nicht gesendet; manuell nötig</t>
        </is>
      </c>
      <c r="G12" s="3" t="inlineStr">
        <is>
          <t>manuell nötig</t>
        </is>
      </c>
    </row>
    <row r="13">
      <c r="A13" s="3" t="inlineStr">
        <is>
          <t>—</t>
        </is>
      </c>
      <c r="B13" s="3" t="inlineStr">
        <is>
          <t>VON POLL IMMOBILIEN Füssen</t>
        </is>
      </c>
      <c r="C13" s="3" t="inlineStr">
        <is>
          <t>Füssen</t>
        </is>
      </c>
      <c r="D13" s="3" t="inlineStr">
        <is>
          <t>Kontaktformular (keine Mail)</t>
        </is>
      </c>
      <c r="E13" s="3" t="inlineStr">
        <is>
          <t>Keine Mail-Adresse – Voranfrage per Formular nötig</t>
        </is>
      </c>
      <c r="F13" s="3" t="inlineStr">
        <is>
          <t>Formular-Versuch 14.10.2026: Seite blockt Automat (403 Bot-Schutz) – nicht gesendet; manuell nötig</t>
        </is>
      </c>
      <c r="G13" s="3" t="inlineStr">
        <is>
          <t>manuell nötig</t>
        </is>
      </c>
    </row>
    <row r="14">
      <c r="A14" s="3" t="inlineStr">
        <is>
          <t>—</t>
        </is>
      </c>
      <c r="B14" s="3" t="inlineStr">
        <is>
          <t>RE/MAX Immobilien Bad Tölz</t>
        </is>
      </c>
      <c r="C14" s="3" t="inlineStr">
        <is>
          <t>Bad Tölz</t>
        </is>
      </c>
      <c r="D14" s="3" t="inlineStr">
        <is>
          <t>Kontaktformular (keine Mail)</t>
        </is>
      </c>
      <c r="E14" s="3" t="inlineStr">
        <is>
          <t>Keine Mail-Adresse – Voranfrage per Formular nötig</t>
        </is>
      </c>
      <c r="F14" s="3" t="inlineStr">
        <is>
          <t>Formular-Versuch 14.10.2026: Seite blockt Automat (Security Verification) – nicht gesendet; manuell nötig</t>
        </is>
      </c>
      <c r="G14" s="3" t="inlineStr">
        <is>
          <t>manuell nötig</t>
        </is>
      </c>
    </row>
    <row r="15">
      <c r="A15" s="3" t="inlineStr">
        <is>
          <t>14.10.2026 15:08</t>
        </is>
      </c>
      <c r="B15" s="3" t="inlineStr">
        <is>
          <t>Engel &amp; Völkers Weilheim-Schongau</t>
        </is>
      </c>
      <c r="C15" s="3" t="inlineStr">
        <is>
          <t>Weilheim · Fr. Weber</t>
        </is>
      </c>
      <c r="D15" s="3" t="inlineStr">
        <is>
          <t>gabriela.weber@engelvoelkers.com</t>
        </is>
      </c>
      <c r="E15" s="3" t="inlineStr">
        <is>
          <t>Neubauprojekt „Am Hochufer“ (615.000 €); fragt nach Kaufpreisrahmen + Feedback</t>
        </is>
      </c>
      <c r="F15" s="3" t="inlineStr">
        <is>
          <t>Chris prüft selbst am 15.10. – nichts tun</t>
        </is>
      </c>
      <c r="G15" s="3" t="inlineStr">
        <is>
          <t>offen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26" customWidth="1" min="2" max="2"/>
    <col width="40" customWidth="1" min="3" max="3"/>
    <col width="16" customWidth="1" min="4" max="4"/>
    <col width="12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9" customWidth="1" min="17" max="17"/>
    <col width="13" customWidth="1" min="18" max="18"/>
    <col width="46" customWidth="1" min="19" max="19"/>
  </cols>
  <sheetData>
    <row r="1" ht="48" customHeight="1">
      <c r="A1" s="4" t="inlineStr">
        <is>
          <t>Datum</t>
        </is>
      </c>
      <c r="B1" s="4" t="inlineStr">
        <is>
          <t>Makler</t>
        </is>
      </c>
      <c r="C1" s="4" t="inlineStr">
        <is>
          <t>Objekt / Lage</t>
        </is>
      </c>
      <c r="D1" s="4" t="inlineStr">
        <is>
          <t>Typ</t>
        </is>
      </c>
      <c r="E1" s="4" t="inlineStr">
        <is>
          <t>Preis €</t>
        </is>
      </c>
      <c r="F1" s="4" t="inlineStr">
        <is>
          <t>m²</t>
        </is>
      </c>
      <c r="G1" s="4" t="inlineStr">
        <is>
          <t>Aufzug</t>
        </is>
      </c>
      <c r="H1" s="4" t="inlineStr">
        <is>
          <t>Südterrasse</t>
        </is>
      </c>
      <c r="I1" s="4" t="inlineStr">
        <is>
          <t>Lage im Suchraum</t>
        </is>
      </c>
      <c r="J1" s="4" t="inlineStr">
        <is>
          <t>Gesundheit/Fitness vor Ort</t>
        </is>
      </c>
      <c r="K1" s="4" t="inlineStr">
        <is>
          <t>Neubau/gepflegt</t>
        </is>
      </c>
      <c r="L1" s="4" t="inlineStr">
        <is>
          <t>Fußbodenheizung</t>
        </is>
      </c>
      <c r="M1" s="4" t="inlineStr">
        <is>
          <t>Tiefgarage+Ladestation</t>
        </is>
      </c>
      <c r="N1" s="4" t="inlineStr">
        <is>
          <t>Keller</t>
        </is>
      </c>
      <c r="O1" s="4" t="inlineStr">
        <is>
          <t>ruhig</t>
        </is>
      </c>
      <c r="P1" s="4" t="inlineStr">
        <is>
          <t>Preis im Rahmen</t>
        </is>
      </c>
      <c r="Q1" s="4" t="inlineStr">
        <is>
          <t>Größe ca. 100</t>
        </is>
      </c>
      <c r="R1" s="4" t="inlineStr">
        <is>
          <t>Score</t>
        </is>
      </c>
      <c r="S1" s="4" t="inlineStr">
        <is>
          <t>Wertung</t>
        </is>
      </c>
      <c r="T1" s="4" t="inlineStr">
        <is>
          <t>Notiz</t>
        </is>
      </c>
    </row>
    <row r="2">
      <c r="A2" s="5" t="inlineStr">
        <is>
          <t>14.10.2026</t>
        </is>
      </c>
      <c r="B2" s="5" t="inlineStr">
        <is>
          <t>Aigner Immobilien</t>
        </is>
      </c>
      <c r="C2" s="5" t="inlineStr">
        <is>
          <t>Obermenzing, 81247 München (Obj.-Nr. 43421, 4 Zi.)</t>
        </is>
      </c>
      <c r="D2" s="5" t="inlineStr">
        <is>
          <t>Etagenwohnung</t>
        </is>
      </c>
      <c r="E2" s="6" t="inlineStr"/>
      <c r="F2" s="5" t="n">
        <v>91.42</v>
      </c>
      <c r="G2" s="7" t="inlineStr">
        <is>
          <t>?</t>
        </is>
      </c>
      <c r="H2" s="7" t="inlineStr">
        <is>
          <t>?</t>
        </is>
      </c>
      <c r="I2" s="7" t="inlineStr">
        <is>
          <t>J</t>
        </is>
      </c>
      <c r="J2" s="7" t="inlineStr">
        <is>
          <t>?</t>
        </is>
      </c>
      <c r="K2" s="7" t="inlineStr">
        <is>
          <t>?</t>
        </is>
      </c>
      <c r="L2" s="7" t="inlineStr">
        <is>
          <t>?</t>
        </is>
      </c>
      <c r="M2" s="7" t="inlineStr">
        <is>
          <t>?</t>
        </is>
      </c>
      <c r="N2" s="7" t="inlineStr">
        <is>
          <t>?</t>
        </is>
      </c>
      <c r="O2" s="7" t="inlineStr">
        <is>
          <t>?</t>
        </is>
      </c>
      <c r="P2" s="7">
        <f>IF(E2="","?",IF(E2&lt;=1250000,"J","N"))</f>
        <v/>
      </c>
      <c r="Q2" s="7">
        <f>IF(F2="","?",IF(AND(F2&gt;=90,F2&lt;=115),"J","N"))</f>
        <v/>
      </c>
      <c r="R2" s="7">
        <f>IF(OR(D2="Etagenwohnung",G2="N"),0,ROUND(100*(3*IF(H2="J",1,IF(H2="N",0,0.5))+3*IF(I2="J",1,IF(I2="N",0,0.5))+2*IF(J2="J",1,IF(J2="N",0,0.5))+2*IF(K2="J",1,IF(K2="N",0,0.5))+1*IF(L2="J",1,IF(L2="N",0,0.5))+1*IF(M2="J",1,IF(M2="N",0,0.5))+1*IF(N2="J",1,IF(N2="N",0,0.5))+1*IF(O2="J",1,IF(O2="N",0,0.5))+2*IF(P2="J",1,IF(P2="N",0,0.5))+3*IF(Q2="J",1,IF(Q2="N",0,0.5)))/19,0))</f>
        <v/>
      </c>
      <c r="S2" s="7" t="inlineStr">
        <is>
          <t>Absage</t>
        </is>
      </c>
      <c r="T2" s="5" t="inlineStr">
        <is>
          <t>Etagenwohnung = No-Go; Absage 14.10. gesendet</t>
        </is>
      </c>
    </row>
    <row r="3">
      <c r="A3" s="5" t="inlineStr">
        <is>
          <t>14.10.2026</t>
        </is>
      </c>
      <c r="B3" s="5" t="inlineStr">
        <is>
          <t>Engel &amp; Völkers Weilheim</t>
        </is>
      </c>
      <c r="C3" s="5" t="inlineStr">
        <is>
          <t>Neubauprojekt „Am Hochufer“, Weilheim</t>
        </is>
      </c>
      <c r="D3" s="5" t="inlineStr">
        <is>
          <t>?</t>
        </is>
      </c>
      <c r="E3" s="6" t="n">
        <v>615000</v>
      </c>
      <c r="F3" s="5" t="inlineStr"/>
      <c r="G3" s="7" t="inlineStr">
        <is>
          <t>?</t>
        </is>
      </c>
      <c r="H3" s="7" t="inlineStr">
        <is>
          <t>?</t>
        </is>
      </c>
      <c r="I3" s="7" t="inlineStr">
        <is>
          <t>J</t>
        </is>
      </c>
      <c r="J3" s="7" t="inlineStr">
        <is>
          <t>?</t>
        </is>
      </c>
      <c r="K3" s="7" t="inlineStr">
        <is>
          <t>J</t>
        </is>
      </c>
      <c r="L3" s="7" t="inlineStr">
        <is>
          <t>?</t>
        </is>
      </c>
      <c r="M3" s="7" t="inlineStr">
        <is>
          <t>?</t>
        </is>
      </c>
      <c r="N3" s="7" t="inlineStr">
        <is>
          <t>?</t>
        </is>
      </c>
      <c r="O3" s="7" t="inlineStr">
        <is>
          <t>?</t>
        </is>
      </c>
      <c r="P3" s="7">
        <f>IF(E3="","?",IF(E3&lt;=1250000,"J","N"))</f>
        <v/>
      </c>
      <c r="Q3" s="7">
        <f>IF(F3="","?",IF(AND(F3&gt;=90,F3&lt;=115),"J","N"))</f>
        <v/>
      </c>
      <c r="R3" s="7">
        <f>IF(OR(D3="Etagenwohnung",G3="N"),0,ROUND(100*(3*IF(H3="J",1,IF(H3="N",0,0.5))+3*IF(I3="J",1,IF(I3="N",0,0.5))+2*IF(J3="J",1,IF(J3="N",0,0.5))+2*IF(K3="J",1,IF(K3="N",0,0.5))+1*IF(L3="J",1,IF(L3="N",0,0.5))+1*IF(M3="J",1,IF(M3="N",0,0.5))+1*IF(N3="J",1,IF(N3="N",0,0.5))+1*IF(O3="J",1,IF(O3="N",0,0.5))+2*IF(P3="J",1,IF(P3="N",0,0.5))+3*IF(Q3="J",1,IF(Q3="N",0,0.5)))/19,0))</f>
        <v/>
      </c>
      <c r="S3" s="7" t="inlineStr">
        <is>
          <t>offen</t>
        </is>
      </c>
      <c r="T3" s="5" t="inlineStr">
        <is>
          <t>Exposé von Chris noch zu prüfen: Penthouse? Südterrasse? Aufzug?</t>
        </is>
      </c>
    </row>
    <row r="4">
      <c r="A4" s="5" t="n"/>
      <c r="B4" s="5" t="n"/>
      <c r="C4" s="5" t="n"/>
      <c r="D4" s="5" t="n"/>
      <c r="E4" s="6" t="n"/>
      <c r="F4" s="5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>
        <f>IF(B4="","",IF(E4="","?",IF(E4&lt;=1250000,"J","N")))</f>
        <v/>
      </c>
      <c r="Q4" s="7">
        <f>IF(B4="","",IF(F4="","?",IF(AND(F4&gt;=90,F4&lt;=115),"J","N")))</f>
        <v/>
      </c>
      <c r="R4" s="7">
        <f>IF(B4="","",IF(OR(D4="Etagenwohnung",G4="N"),0,ROUND(100*(3*IF(H4="J",1,IF(H4="N",0,0.5))+3*IF(I4="J",1,IF(I4="N",0,0.5))+2*IF(J4="J",1,IF(J4="N",0,0.5))+2*IF(K4="J",1,IF(K4="N",0,0.5))+1*IF(L4="J",1,IF(L4="N",0,0.5))+1*IF(M4="J",1,IF(M4="N",0,0.5))+1*IF(N4="J",1,IF(N4="N",0,0.5))+1*IF(O4="J",1,IF(O4="N",0,0.5))+2*IF(P4="J",1,IF(P4="N",0,0.5))+3*IF(Q4="J",1,IF(Q4="N",0,0.5)))/19,0)))</f>
        <v/>
      </c>
      <c r="S4" s="7" t="n"/>
      <c r="T4" s="5" t="n"/>
    </row>
    <row r="5">
      <c r="A5" s="5" t="n"/>
      <c r="B5" s="5" t="n"/>
      <c r="C5" s="5" t="n"/>
      <c r="D5" s="5" t="n"/>
      <c r="E5" s="6" t="n"/>
      <c r="F5" s="5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>
        <f>IF(B5="","",IF(E5="","?",IF(E5&lt;=1250000,"J","N")))</f>
        <v/>
      </c>
      <c r="Q5" s="7">
        <f>IF(B5="","",IF(F5="","?",IF(AND(F5&gt;=90,F5&lt;=115),"J","N")))</f>
        <v/>
      </c>
      <c r="R5" s="7">
        <f>IF(B5="","",IF(OR(D5="Etagenwohnung",G5="N"),0,ROUND(100*(3*IF(H5="J",1,IF(H5="N",0,0.5))+3*IF(I5="J",1,IF(I5="N",0,0.5))+2*IF(J5="J",1,IF(J5="N",0,0.5))+2*IF(K5="J",1,IF(K5="N",0,0.5))+1*IF(L5="J",1,IF(L5="N",0,0.5))+1*IF(M5="J",1,IF(M5="N",0,0.5))+1*IF(N5="J",1,IF(N5="N",0,0.5))+1*IF(O5="J",1,IF(O5="N",0,0.5))+2*IF(P5="J",1,IF(P5="N",0,0.5))+3*IF(Q5="J",1,IF(Q5="N",0,0.5)))/19,0)))</f>
        <v/>
      </c>
      <c r="S5" s="7" t="n"/>
      <c r="T5" s="5" t="n"/>
    </row>
    <row r="6">
      <c r="A6" s="5" t="n"/>
      <c r="B6" s="5" t="n"/>
      <c r="C6" s="5" t="n"/>
      <c r="D6" s="5" t="n"/>
      <c r="E6" s="6" t="n"/>
      <c r="F6" s="5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>
        <f>IF(B6="","",IF(E6="","?",IF(E6&lt;=1250000,"J","N")))</f>
        <v/>
      </c>
      <c r="Q6" s="7">
        <f>IF(B6="","",IF(F6="","?",IF(AND(F6&gt;=90,F6&lt;=115),"J","N")))</f>
        <v/>
      </c>
      <c r="R6" s="7">
        <f>IF(B6="","",IF(OR(D6="Etagenwohnung",G6="N"),0,ROUND(100*(3*IF(H6="J",1,IF(H6="N",0,0.5))+3*IF(I6="J",1,IF(I6="N",0,0.5))+2*IF(J6="J",1,IF(J6="N",0,0.5))+2*IF(K6="J",1,IF(K6="N",0,0.5))+1*IF(L6="J",1,IF(L6="N",0,0.5))+1*IF(M6="J",1,IF(M6="N",0,0.5))+1*IF(N6="J",1,IF(N6="N",0,0.5))+1*IF(O6="J",1,IF(O6="N",0,0.5))+2*IF(P6="J",1,IF(P6="N",0,0.5))+3*IF(Q6="J",1,IF(Q6="N",0,0.5)))/19,0)))</f>
        <v/>
      </c>
      <c r="S6" s="7" t="n"/>
      <c r="T6" s="5" t="n"/>
    </row>
    <row r="7">
      <c r="A7" s="5" t="n"/>
      <c r="B7" s="5" t="n"/>
      <c r="C7" s="5" t="n"/>
      <c r="D7" s="5" t="n"/>
      <c r="E7" s="6" t="n"/>
      <c r="F7" s="5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>
        <f>IF(B7="","",IF(E7="","?",IF(E7&lt;=1250000,"J","N")))</f>
        <v/>
      </c>
      <c r="Q7" s="7">
        <f>IF(B7="","",IF(F7="","?",IF(AND(F7&gt;=90,F7&lt;=115),"J","N")))</f>
        <v/>
      </c>
      <c r="R7" s="7">
        <f>IF(B7="","",IF(OR(D7="Etagenwohnung",G7="N"),0,ROUND(100*(3*IF(H7="J",1,IF(H7="N",0,0.5))+3*IF(I7="J",1,IF(I7="N",0,0.5))+2*IF(J7="J",1,IF(J7="N",0,0.5))+2*IF(K7="J",1,IF(K7="N",0,0.5))+1*IF(L7="J",1,IF(L7="N",0,0.5))+1*IF(M7="J",1,IF(M7="N",0,0.5))+1*IF(N7="J",1,IF(N7="N",0,0.5))+1*IF(O7="J",1,IF(O7="N",0,0.5))+2*IF(P7="J",1,IF(P7="N",0,0.5))+3*IF(Q7="J",1,IF(Q7="N",0,0.5)))/19,0)))</f>
        <v/>
      </c>
      <c r="S7" s="7" t="n"/>
      <c r="T7" s="5" t="n"/>
    </row>
    <row r="8">
      <c r="A8" s="5" t="n"/>
      <c r="B8" s="5" t="n"/>
      <c r="C8" s="5" t="n"/>
      <c r="D8" s="5" t="n"/>
      <c r="E8" s="6" t="n"/>
      <c r="F8" s="5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>
        <f>IF(B8="","",IF(E8="","?",IF(E8&lt;=1250000,"J","N")))</f>
        <v/>
      </c>
      <c r="Q8" s="7">
        <f>IF(B8="","",IF(F8="","?",IF(AND(F8&gt;=90,F8&lt;=115),"J","N")))</f>
        <v/>
      </c>
      <c r="R8" s="7">
        <f>IF(B8="","",IF(OR(D8="Etagenwohnung",G8="N"),0,ROUND(100*(3*IF(H8="J",1,IF(H8="N",0,0.5))+3*IF(I8="J",1,IF(I8="N",0,0.5))+2*IF(J8="J",1,IF(J8="N",0,0.5))+2*IF(K8="J",1,IF(K8="N",0,0.5))+1*IF(L8="J",1,IF(L8="N",0,0.5))+1*IF(M8="J",1,IF(M8="N",0,0.5))+1*IF(N8="J",1,IF(N8="N",0,0.5))+1*IF(O8="J",1,IF(O8="N",0,0.5))+2*IF(P8="J",1,IF(P8="N",0,0.5))+3*IF(Q8="J",1,IF(Q8="N",0,0.5)))/19,0)))</f>
        <v/>
      </c>
      <c r="S8" s="7" t="n"/>
      <c r="T8" s="5" t="n"/>
    </row>
    <row r="9">
      <c r="A9" s="5" t="n"/>
      <c r="B9" s="5" t="n"/>
      <c r="C9" s="5" t="n"/>
      <c r="D9" s="5" t="n"/>
      <c r="E9" s="6" t="n"/>
      <c r="F9" s="5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>
        <f>IF(B9="","",IF(E9="","?",IF(E9&lt;=1250000,"J","N")))</f>
        <v/>
      </c>
      <c r="Q9" s="7">
        <f>IF(B9="","",IF(F9="","?",IF(AND(F9&gt;=90,F9&lt;=115),"J","N")))</f>
        <v/>
      </c>
      <c r="R9" s="7">
        <f>IF(B9="","",IF(OR(D9="Etagenwohnung",G9="N"),0,ROUND(100*(3*IF(H9="J",1,IF(H9="N",0,0.5))+3*IF(I9="J",1,IF(I9="N",0,0.5))+2*IF(J9="J",1,IF(J9="N",0,0.5))+2*IF(K9="J",1,IF(K9="N",0,0.5))+1*IF(L9="J",1,IF(L9="N",0,0.5))+1*IF(M9="J",1,IF(M9="N",0,0.5))+1*IF(N9="J",1,IF(N9="N",0,0.5))+1*IF(O9="J",1,IF(O9="N",0,0.5))+2*IF(P9="J",1,IF(P9="N",0,0.5))+3*IF(Q9="J",1,IF(Q9="N",0,0.5)))/19,0)))</f>
        <v/>
      </c>
      <c r="S9" s="7" t="n"/>
      <c r="T9" s="5" t="n"/>
    </row>
    <row r="10">
      <c r="A10" s="5" t="n"/>
      <c r="B10" s="5" t="n"/>
      <c r="C10" s="5" t="n"/>
      <c r="D10" s="5" t="n"/>
      <c r="E10" s="6" t="n"/>
      <c r="F10" s="5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>
        <f>IF(B10="","",IF(E10="","?",IF(E10&lt;=1250000,"J","N")))</f>
        <v/>
      </c>
      <c r="Q10" s="7">
        <f>IF(B10="","",IF(F10="","?",IF(AND(F10&gt;=90,F10&lt;=115),"J","N")))</f>
        <v/>
      </c>
      <c r="R10" s="7">
        <f>IF(B10="","",IF(OR(D10="Etagenwohnung",G10="N"),0,ROUND(100*(3*IF(H10="J",1,IF(H10="N",0,0.5))+3*IF(I10="J",1,IF(I10="N",0,0.5))+2*IF(J10="J",1,IF(J10="N",0,0.5))+2*IF(K10="J",1,IF(K10="N",0,0.5))+1*IF(L10="J",1,IF(L10="N",0,0.5))+1*IF(M10="J",1,IF(M10="N",0,0.5))+1*IF(N10="J",1,IF(N10="N",0,0.5))+1*IF(O10="J",1,IF(O10="N",0,0.5))+2*IF(P10="J",1,IF(P10="N",0,0.5))+3*IF(Q10="J",1,IF(Q10="N",0,0.5)))/19,0)))</f>
        <v/>
      </c>
      <c r="S10" s="7" t="n"/>
      <c r="T10" s="5" t="n"/>
    </row>
    <row r="11">
      <c r="A11" s="5" t="n"/>
      <c r="B11" s="5" t="n"/>
      <c r="C11" s="5" t="n"/>
      <c r="D11" s="5" t="n"/>
      <c r="E11" s="6" t="n"/>
      <c r="F11" s="5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>
        <f>IF(B11="","",IF(E11="","?",IF(E11&lt;=1250000,"J","N")))</f>
        <v/>
      </c>
      <c r="Q11" s="7">
        <f>IF(B11="","",IF(F11="","?",IF(AND(F11&gt;=90,F11&lt;=115),"J","N")))</f>
        <v/>
      </c>
      <c r="R11" s="7">
        <f>IF(B11="","",IF(OR(D11="Etagenwohnung",G11="N"),0,ROUND(100*(3*IF(H11="J",1,IF(H11="N",0,0.5))+3*IF(I11="J",1,IF(I11="N",0,0.5))+2*IF(J11="J",1,IF(J11="N",0,0.5))+2*IF(K11="J",1,IF(K11="N",0,0.5))+1*IF(L11="J",1,IF(L11="N",0,0.5))+1*IF(M11="J",1,IF(M11="N",0,0.5))+1*IF(N11="J",1,IF(N11="N",0,0.5))+1*IF(O11="J",1,IF(O11="N",0,0.5))+2*IF(P11="J",1,IF(P11="N",0,0.5))+3*IF(Q11="J",1,IF(Q11="N",0,0.5)))/19,0)))</f>
        <v/>
      </c>
      <c r="S11" s="7" t="n"/>
      <c r="T11" s="5" t="n"/>
    </row>
    <row r="12">
      <c r="A12" s="5" t="n"/>
      <c r="B12" s="5" t="n"/>
      <c r="C12" s="5" t="n"/>
      <c r="D12" s="5" t="n"/>
      <c r="E12" s="6" t="n"/>
      <c r="F12" s="5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>
        <f>IF(B12="","",IF(E12="","?",IF(E12&lt;=1250000,"J","N")))</f>
        <v/>
      </c>
      <c r="Q12" s="7">
        <f>IF(B12="","",IF(F12="","?",IF(AND(F12&gt;=90,F12&lt;=115),"J","N")))</f>
        <v/>
      </c>
      <c r="R12" s="7">
        <f>IF(B12="","",IF(OR(D12="Etagenwohnung",G12="N"),0,ROUND(100*(3*IF(H12="J",1,IF(H12="N",0,0.5))+3*IF(I12="J",1,IF(I12="N",0,0.5))+2*IF(J12="J",1,IF(J12="N",0,0.5))+2*IF(K12="J",1,IF(K12="N",0,0.5))+1*IF(L12="J",1,IF(L12="N",0,0.5))+1*IF(M12="J",1,IF(M12="N",0,0.5))+1*IF(N12="J",1,IF(N12="N",0,0.5))+1*IF(O12="J",1,IF(O12="N",0,0.5))+2*IF(P12="J",1,IF(P12="N",0,0.5))+3*IF(Q12="J",1,IF(Q12="N",0,0.5)))/19,0)))</f>
        <v/>
      </c>
      <c r="S12" s="7" t="n"/>
      <c r="T12" s="5" t="n"/>
    </row>
    <row r="13">
      <c r="A13" s="5" t="n"/>
      <c r="B13" s="5" t="n"/>
      <c r="C13" s="5" t="n"/>
      <c r="D13" s="5" t="n"/>
      <c r="E13" s="6" t="n"/>
      <c r="F13" s="5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>
        <f>IF(B13="","",IF(E13="","?",IF(E13&lt;=1250000,"J","N")))</f>
        <v/>
      </c>
      <c r="Q13" s="7">
        <f>IF(B13="","",IF(F13="","?",IF(AND(F13&gt;=90,F13&lt;=115),"J","N")))</f>
        <v/>
      </c>
      <c r="R13" s="7">
        <f>IF(B13="","",IF(OR(D13="Etagenwohnung",G13="N"),0,ROUND(100*(3*IF(H13="J",1,IF(H13="N",0,0.5))+3*IF(I13="J",1,IF(I13="N",0,0.5))+2*IF(J13="J",1,IF(J13="N",0,0.5))+2*IF(K13="J",1,IF(K13="N",0,0.5))+1*IF(L13="J",1,IF(L13="N",0,0.5))+1*IF(M13="J",1,IF(M13="N",0,0.5))+1*IF(N13="J",1,IF(N13="N",0,0.5))+1*IF(O13="J",1,IF(O13="N",0,0.5))+2*IF(P13="J",1,IF(P13="N",0,0.5))+3*IF(Q13="J",1,IF(Q13="N",0,0.5)))/19,0)))</f>
        <v/>
      </c>
      <c r="S13" s="7" t="n"/>
      <c r="T13" s="5" t="n"/>
    </row>
    <row r="14">
      <c r="A14" s="5" t="n"/>
      <c r="B14" s="5" t="n"/>
      <c r="C14" s="5" t="n"/>
      <c r="D14" s="5" t="n"/>
      <c r="E14" s="6" t="n"/>
      <c r="F14" s="5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>
        <f>IF(B14="","",IF(E14="","?",IF(E14&lt;=1250000,"J","N")))</f>
        <v/>
      </c>
      <c r="Q14" s="7">
        <f>IF(B14="","",IF(F14="","?",IF(AND(F14&gt;=90,F14&lt;=115),"J","N")))</f>
        <v/>
      </c>
      <c r="R14" s="7">
        <f>IF(B14="","",IF(OR(D14="Etagenwohnung",G14="N"),0,ROUND(100*(3*IF(H14="J",1,IF(H14="N",0,0.5))+3*IF(I14="J",1,IF(I14="N",0,0.5))+2*IF(J14="J",1,IF(J14="N",0,0.5))+2*IF(K14="J",1,IF(K14="N",0,0.5))+1*IF(L14="J",1,IF(L14="N",0,0.5))+1*IF(M14="J",1,IF(M14="N",0,0.5))+1*IF(N14="J",1,IF(N14="N",0,0.5))+1*IF(O14="J",1,IF(O14="N",0,0.5))+2*IF(P14="J",1,IF(P14="N",0,0.5))+3*IF(Q14="J",1,IF(Q14="N",0,0.5)))/19,0)))</f>
        <v/>
      </c>
      <c r="S14" s="7" t="n"/>
      <c r="T14" s="5" t="n"/>
    </row>
    <row r="15">
      <c r="A15" s="5" t="n"/>
      <c r="B15" s="5" t="n"/>
      <c r="C15" s="5" t="n"/>
      <c r="D15" s="5" t="n"/>
      <c r="E15" s="6" t="n"/>
      <c r="F15" s="5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>
        <f>IF(B15="","",IF(E15="","?",IF(E15&lt;=1250000,"J","N")))</f>
        <v/>
      </c>
      <c r="Q15" s="7">
        <f>IF(B15="","",IF(F15="","?",IF(AND(F15&gt;=90,F15&lt;=115),"J","N")))</f>
        <v/>
      </c>
      <c r="R15" s="7">
        <f>IF(B15="","",IF(OR(D15="Etagenwohnung",G15="N"),0,ROUND(100*(3*IF(H15="J",1,IF(H15="N",0,0.5))+3*IF(I15="J",1,IF(I15="N",0,0.5))+2*IF(J15="J",1,IF(J15="N",0,0.5))+2*IF(K15="J",1,IF(K15="N",0,0.5))+1*IF(L15="J",1,IF(L15="N",0,0.5))+1*IF(M15="J",1,IF(M15="N",0,0.5))+1*IF(N15="J",1,IF(N15="N",0,0.5))+1*IF(O15="J",1,IF(O15="N",0,0.5))+2*IF(P15="J",1,IF(P15="N",0,0.5))+3*IF(Q15="J",1,IF(Q15="N",0,0.5)))/19,0)))</f>
        <v/>
      </c>
      <c r="S15" s="7" t="n"/>
      <c r="T15" s="5" t="n"/>
    </row>
    <row r="16">
      <c r="A16" s="5" t="n"/>
      <c r="B16" s="5" t="n"/>
      <c r="C16" s="5" t="n"/>
      <c r="D16" s="5" t="n"/>
      <c r="E16" s="6" t="n"/>
      <c r="F16" s="5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>
        <f>IF(B16="","",IF(E16="","?",IF(E16&lt;=1250000,"J","N")))</f>
        <v/>
      </c>
      <c r="Q16" s="7">
        <f>IF(B16="","",IF(F16="","?",IF(AND(F16&gt;=90,F16&lt;=115),"J","N")))</f>
        <v/>
      </c>
      <c r="R16" s="7">
        <f>IF(B16="","",IF(OR(D16="Etagenwohnung",G16="N"),0,ROUND(100*(3*IF(H16="J",1,IF(H16="N",0,0.5))+3*IF(I16="J",1,IF(I16="N",0,0.5))+2*IF(J16="J",1,IF(J16="N",0,0.5))+2*IF(K16="J",1,IF(K16="N",0,0.5))+1*IF(L16="J",1,IF(L16="N",0,0.5))+1*IF(M16="J",1,IF(M16="N",0,0.5))+1*IF(N16="J",1,IF(N16="N",0,0.5))+1*IF(O16="J",1,IF(O16="N",0,0.5))+2*IF(P16="J",1,IF(P16="N",0,0.5))+3*IF(Q16="J",1,IF(Q16="N",0,0.5)))/19,0)))</f>
        <v/>
      </c>
      <c r="S16" s="7" t="n"/>
      <c r="T16" s="5" t="n"/>
    </row>
    <row r="17">
      <c r="A17" s="5" t="n"/>
      <c r="B17" s="5" t="n"/>
      <c r="C17" s="5" t="n"/>
      <c r="D17" s="5" t="n"/>
      <c r="E17" s="6" t="n"/>
      <c r="F17" s="5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>
        <f>IF(B17="","",IF(E17="","?",IF(E17&lt;=1250000,"J","N")))</f>
        <v/>
      </c>
      <c r="Q17" s="7">
        <f>IF(B17="","",IF(F17="","?",IF(AND(F17&gt;=90,F17&lt;=115),"J","N")))</f>
        <v/>
      </c>
      <c r="R17" s="7">
        <f>IF(B17="","",IF(OR(D17="Etagenwohnung",G17="N"),0,ROUND(100*(3*IF(H17="J",1,IF(H17="N",0,0.5))+3*IF(I17="J",1,IF(I17="N",0,0.5))+2*IF(J17="J",1,IF(J17="N",0,0.5))+2*IF(K17="J",1,IF(K17="N",0,0.5))+1*IF(L17="J",1,IF(L17="N",0,0.5))+1*IF(M17="J",1,IF(M17="N",0,0.5))+1*IF(N17="J",1,IF(N17="N",0,0.5))+1*IF(O17="J",1,IF(O17="N",0,0.5))+2*IF(P17="J",1,IF(P17="N",0,0.5))+3*IF(Q17="J",1,IF(Q17="N",0,0.5)))/19,0)))</f>
        <v/>
      </c>
      <c r="S17" s="7" t="n"/>
      <c r="T17" s="5" t="n"/>
    </row>
    <row r="18">
      <c r="A18" s="5" t="n"/>
      <c r="B18" s="5" t="n"/>
      <c r="C18" s="5" t="n"/>
      <c r="D18" s="5" t="n"/>
      <c r="E18" s="6" t="n"/>
      <c r="F18" s="5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>
        <f>IF(B18="","",IF(E18="","?",IF(E18&lt;=1250000,"J","N")))</f>
        <v/>
      </c>
      <c r="Q18" s="7">
        <f>IF(B18="","",IF(F18="","?",IF(AND(F18&gt;=90,F18&lt;=115),"J","N")))</f>
        <v/>
      </c>
      <c r="R18" s="7">
        <f>IF(B18="","",IF(OR(D18="Etagenwohnung",G18="N"),0,ROUND(100*(3*IF(H18="J",1,IF(H18="N",0,0.5))+3*IF(I18="J",1,IF(I18="N",0,0.5))+2*IF(J18="J",1,IF(J18="N",0,0.5))+2*IF(K18="J",1,IF(K18="N",0,0.5))+1*IF(L18="J",1,IF(L18="N",0,0.5))+1*IF(M18="J",1,IF(M18="N",0,0.5))+1*IF(N18="J",1,IF(N18="N",0,0.5))+1*IF(O18="J",1,IF(O18="N",0,0.5))+2*IF(P18="J",1,IF(P18="N",0,0.5))+3*IF(Q18="J",1,IF(Q18="N",0,0.5)))/19,0)))</f>
        <v/>
      </c>
      <c r="S18" s="7" t="n"/>
      <c r="T18" s="5" t="n"/>
    </row>
    <row r="19">
      <c r="A19" s="5" t="n"/>
      <c r="B19" s="5" t="n"/>
      <c r="C19" s="5" t="n"/>
      <c r="D19" s="5" t="n"/>
      <c r="E19" s="6" t="n"/>
      <c r="F19" s="5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>
        <f>IF(B19="","",IF(E19="","?",IF(E19&lt;=1250000,"J","N")))</f>
        <v/>
      </c>
      <c r="Q19" s="7">
        <f>IF(B19="","",IF(F19="","?",IF(AND(F19&gt;=90,F19&lt;=115),"J","N")))</f>
        <v/>
      </c>
      <c r="R19" s="7">
        <f>IF(B19="","",IF(OR(D19="Etagenwohnung",G19="N"),0,ROUND(100*(3*IF(H19="J",1,IF(H19="N",0,0.5))+3*IF(I19="J",1,IF(I19="N",0,0.5))+2*IF(J19="J",1,IF(J19="N",0,0.5))+2*IF(K19="J",1,IF(K19="N",0,0.5))+1*IF(L19="J",1,IF(L19="N",0,0.5))+1*IF(M19="J",1,IF(M19="N",0,0.5))+1*IF(N19="J",1,IF(N19="N",0,0.5))+1*IF(O19="J",1,IF(O19="N",0,0.5))+2*IF(P19="J",1,IF(P19="N",0,0.5))+3*IF(Q19="J",1,IF(Q19="N",0,0.5)))/19,0)))</f>
        <v/>
      </c>
      <c r="S19" s="7" t="n"/>
      <c r="T19" s="5" t="n"/>
    </row>
    <row r="20">
      <c r="A20" s="5" t="n"/>
      <c r="B20" s="5" t="n"/>
      <c r="C20" s="5" t="n"/>
      <c r="D20" s="5" t="n"/>
      <c r="E20" s="6" t="n"/>
      <c r="F20" s="5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>
        <f>IF(B20="","",IF(E20="","?",IF(E20&lt;=1250000,"J","N")))</f>
        <v/>
      </c>
      <c r="Q20" s="7">
        <f>IF(B20="","",IF(F20="","?",IF(AND(F20&gt;=90,F20&lt;=115),"J","N")))</f>
        <v/>
      </c>
      <c r="R20" s="7">
        <f>IF(B20="","",IF(OR(D20="Etagenwohnung",G20="N"),0,ROUND(100*(3*IF(H20="J",1,IF(H20="N",0,0.5))+3*IF(I20="J",1,IF(I20="N",0,0.5))+2*IF(J20="J",1,IF(J20="N",0,0.5))+2*IF(K20="J",1,IF(K20="N",0,0.5))+1*IF(L20="J",1,IF(L20="N",0,0.5))+1*IF(M20="J",1,IF(M20="N",0,0.5))+1*IF(N20="J",1,IF(N20="N",0,0.5))+1*IF(O20="J",1,IF(O20="N",0,0.5))+2*IF(P20="J",1,IF(P20="N",0,0.5))+3*IF(Q20="J",1,IF(Q20="N",0,0.5)))/19,0)))</f>
        <v/>
      </c>
      <c r="S20" s="7" t="n"/>
      <c r="T20" s="5" t="n"/>
    </row>
    <row r="21">
      <c r="A21" s="5" t="n"/>
      <c r="B21" s="5" t="n"/>
      <c r="C21" s="5" t="n"/>
      <c r="D21" s="5" t="n"/>
      <c r="E21" s="6" t="n"/>
      <c r="F21" s="5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>
        <f>IF(B21="","",IF(E21="","?",IF(E21&lt;=1250000,"J","N")))</f>
        <v/>
      </c>
      <c r="Q21" s="7">
        <f>IF(B21="","",IF(F21="","?",IF(AND(F21&gt;=90,F21&lt;=115),"J","N")))</f>
        <v/>
      </c>
      <c r="R21" s="7">
        <f>IF(B21="","",IF(OR(D21="Etagenwohnung",G21="N"),0,ROUND(100*(3*IF(H21="J",1,IF(H21="N",0,0.5))+3*IF(I21="J",1,IF(I21="N",0,0.5))+2*IF(J21="J",1,IF(J21="N",0,0.5))+2*IF(K21="J",1,IF(K21="N",0,0.5))+1*IF(L21="J",1,IF(L21="N",0,0.5))+1*IF(M21="J",1,IF(M21="N",0,0.5))+1*IF(N21="J",1,IF(N21="N",0,0.5))+1*IF(O21="J",1,IF(O21="N",0,0.5))+2*IF(P21="J",1,IF(P21="N",0,0.5))+3*IF(Q21="J",1,IF(Q21="N",0,0.5)))/19,0)))</f>
        <v/>
      </c>
      <c r="S21" s="7" t="n"/>
      <c r="T21" s="5" t="n"/>
    </row>
    <row r="22">
      <c r="A22" s="5" t="n"/>
      <c r="B22" s="5" t="n"/>
      <c r="C22" s="5" t="n"/>
      <c r="D22" s="5" t="n"/>
      <c r="E22" s="6" t="n"/>
      <c r="F22" s="5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>
        <f>IF(B22="","",IF(E22="","?",IF(E22&lt;=1250000,"J","N")))</f>
        <v/>
      </c>
      <c r="Q22" s="7">
        <f>IF(B22="","",IF(F22="","?",IF(AND(F22&gt;=90,F22&lt;=115),"J","N")))</f>
        <v/>
      </c>
      <c r="R22" s="7">
        <f>IF(B22="","",IF(OR(D22="Etagenwohnung",G22="N"),0,ROUND(100*(3*IF(H22="J",1,IF(H22="N",0,0.5))+3*IF(I22="J",1,IF(I22="N",0,0.5))+2*IF(J22="J",1,IF(J22="N",0,0.5))+2*IF(K22="J",1,IF(K22="N",0,0.5))+1*IF(L22="J",1,IF(L22="N",0,0.5))+1*IF(M22="J",1,IF(M22="N",0,0.5))+1*IF(N22="J",1,IF(N22="N",0,0.5))+1*IF(O22="J",1,IF(O22="N",0,0.5))+2*IF(P22="J",1,IF(P22="N",0,0.5))+3*IF(Q22="J",1,IF(Q22="N",0,0.5)))/19,0)))</f>
        <v/>
      </c>
      <c r="S22" s="7" t="n"/>
      <c r="T22" s="5" t="n"/>
    </row>
    <row r="23">
      <c r="A23" s="5" t="n"/>
      <c r="B23" s="5" t="n"/>
      <c r="C23" s="5" t="n"/>
      <c r="D23" s="5" t="n"/>
      <c r="E23" s="6" t="n"/>
      <c r="F23" s="5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>
        <f>IF(B23="","",IF(E23="","?",IF(E23&lt;=1250000,"J","N")))</f>
        <v/>
      </c>
      <c r="Q23" s="7">
        <f>IF(B23="","",IF(F23="","?",IF(AND(F23&gt;=90,F23&lt;=115),"J","N")))</f>
        <v/>
      </c>
      <c r="R23" s="7">
        <f>IF(B23="","",IF(OR(D23="Etagenwohnung",G23="N"),0,ROUND(100*(3*IF(H23="J",1,IF(H23="N",0,0.5))+3*IF(I23="J",1,IF(I23="N",0,0.5))+2*IF(J23="J",1,IF(J23="N",0,0.5))+2*IF(K23="J",1,IF(K23="N",0,0.5))+1*IF(L23="J",1,IF(L23="N",0,0.5))+1*IF(M23="J",1,IF(M23="N",0,0.5))+1*IF(N23="J",1,IF(N23="N",0,0.5))+1*IF(O23="J",1,IF(O23="N",0,0.5))+2*IF(P23="J",1,IF(P23="N",0,0.5))+3*IF(Q23="J",1,IF(Q23="N",0,0.5)))/19,0)))</f>
        <v/>
      </c>
      <c r="S23" s="7" t="n"/>
      <c r="T23" s="5" t="n"/>
    </row>
    <row r="24">
      <c r="A24" s="5" t="n"/>
      <c r="B24" s="5" t="n"/>
      <c r="C24" s="5" t="n"/>
      <c r="D24" s="5" t="n"/>
      <c r="E24" s="6" t="n"/>
      <c r="F24" s="5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>
        <f>IF(B24="","",IF(E24="","?",IF(E24&lt;=1250000,"J","N")))</f>
        <v/>
      </c>
      <c r="Q24" s="7">
        <f>IF(B24="","",IF(F24="","?",IF(AND(F24&gt;=90,F24&lt;=115),"J","N")))</f>
        <v/>
      </c>
      <c r="R24" s="7">
        <f>IF(B24="","",IF(OR(D24="Etagenwohnung",G24="N"),0,ROUND(100*(3*IF(H24="J",1,IF(H24="N",0,0.5))+3*IF(I24="J",1,IF(I24="N",0,0.5))+2*IF(J24="J",1,IF(J24="N",0,0.5))+2*IF(K24="J",1,IF(K24="N",0,0.5))+1*IF(L24="J",1,IF(L24="N",0,0.5))+1*IF(M24="J",1,IF(M24="N",0,0.5))+1*IF(N24="J",1,IF(N24="N",0,0.5))+1*IF(O24="J",1,IF(O24="N",0,0.5))+2*IF(P24="J",1,IF(P24="N",0,0.5))+3*IF(Q24="J",1,IF(Q24="N",0,0.5)))/19,0)))</f>
        <v/>
      </c>
      <c r="S24" s="7" t="n"/>
      <c r="T24" s="5" t="n"/>
    </row>
    <row r="25">
      <c r="A25" s="5" t="n"/>
      <c r="B25" s="5" t="n"/>
      <c r="C25" s="5" t="n"/>
      <c r="D25" s="5" t="n"/>
      <c r="E25" s="6" t="n"/>
      <c r="F25" s="5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>
        <f>IF(B25="","",IF(E25="","?",IF(E25&lt;=1250000,"J","N")))</f>
        <v/>
      </c>
      <c r="Q25" s="7">
        <f>IF(B25="","",IF(F25="","?",IF(AND(F25&gt;=90,F25&lt;=115),"J","N")))</f>
        <v/>
      </c>
      <c r="R25" s="7">
        <f>IF(B25="","",IF(OR(D25="Etagenwohnung",G25="N"),0,ROUND(100*(3*IF(H25="J",1,IF(H25="N",0,0.5))+3*IF(I25="J",1,IF(I25="N",0,0.5))+2*IF(J25="J",1,IF(J25="N",0,0.5))+2*IF(K25="J",1,IF(K25="N",0,0.5))+1*IF(L25="J",1,IF(L25="N",0,0.5))+1*IF(M25="J",1,IF(M25="N",0,0.5))+1*IF(N25="J",1,IF(N25="N",0,0.5))+1*IF(O25="J",1,IF(O25="N",0,0.5))+2*IF(P25="J",1,IF(P25="N",0,0.5))+3*IF(Q25="J",1,IF(Q25="N",0,0.5)))/19,0)))</f>
        <v/>
      </c>
      <c r="S25" s="7" t="n"/>
      <c r="T25" s="5" t="n"/>
    </row>
    <row r="26">
      <c r="A26" s="5" t="n"/>
      <c r="B26" s="5" t="n"/>
      <c r="C26" s="5" t="n"/>
      <c r="D26" s="5" t="n"/>
      <c r="E26" s="6" t="n"/>
      <c r="F26" s="5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>
        <f>IF(B26="","",IF(E26="","?",IF(E26&lt;=1250000,"J","N")))</f>
        <v/>
      </c>
      <c r="Q26" s="7">
        <f>IF(B26="","",IF(F26="","?",IF(AND(F26&gt;=90,F26&lt;=115),"J","N")))</f>
        <v/>
      </c>
      <c r="R26" s="7">
        <f>IF(B26="","",IF(OR(D26="Etagenwohnung",G26="N"),0,ROUND(100*(3*IF(H26="J",1,IF(H26="N",0,0.5))+3*IF(I26="J",1,IF(I26="N",0,0.5))+2*IF(J26="J",1,IF(J26="N",0,0.5))+2*IF(K26="J",1,IF(K26="N",0,0.5))+1*IF(L26="J",1,IF(L26="N",0,0.5))+1*IF(M26="J",1,IF(M26="N",0,0.5))+1*IF(N26="J",1,IF(N26="N",0,0.5))+1*IF(O26="J",1,IF(O26="N",0,0.5))+2*IF(P26="J",1,IF(P26="N",0,0.5))+3*IF(Q26="J",1,IF(Q26="N",0,0.5)))/19,0)))</f>
        <v/>
      </c>
      <c r="S26" s="7" t="n"/>
      <c r="T26" s="5" t="n"/>
    </row>
    <row r="27">
      <c r="A27" s="5" t="n"/>
      <c r="B27" s="5" t="n"/>
      <c r="C27" s="5" t="n"/>
      <c r="D27" s="5" t="n"/>
      <c r="E27" s="6" t="n"/>
      <c r="F27" s="5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>
        <f>IF(B27="","",IF(E27="","?",IF(E27&lt;=1250000,"J","N")))</f>
        <v/>
      </c>
      <c r="Q27" s="7">
        <f>IF(B27="","",IF(F27="","?",IF(AND(F27&gt;=90,F27&lt;=115),"J","N")))</f>
        <v/>
      </c>
      <c r="R27" s="7">
        <f>IF(B27="","",IF(OR(D27="Etagenwohnung",G27="N"),0,ROUND(100*(3*IF(H27="J",1,IF(H27="N",0,0.5))+3*IF(I27="J",1,IF(I27="N",0,0.5))+2*IF(J27="J",1,IF(J27="N",0,0.5))+2*IF(K27="J",1,IF(K27="N",0,0.5))+1*IF(L27="J",1,IF(L27="N",0,0.5))+1*IF(M27="J",1,IF(M27="N",0,0.5))+1*IF(N27="J",1,IF(N27="N",0,0.5))+1*IF(O27="J",1,IF(O27="N",0,0.5))+2*IF(P27="J",1,IF(P27="N",0,0.5))+3*IF(Q27="J",1,IF(Q27="N",0,0.5)))/19,0)))</f>
        <v/>
      </c>
      <c r="S27" s="7" t="n"/>
      <c r="T27" s="5" t="n"/>
    </row>
    <row r="28">
      <c r="A28" s="5" t="n"/>
      <c r="B28" s="5" t="n"/>
      <c r="C28" s="5" t="n"/>
      <c r="D28" s="5" t="n"/>
      <c r="E28" s="6" t="n"/>
      <c r="F28" s="5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>
        <f>IF(B28="","",IF(E28="","?",IF(E28&lt;=1250000,"J","N")))</f>
        <v/>
      </c>
      <c r="Q28" s="7">
        <f>IF(B28="","",IF(F28="","?",IF(AND(F28&gt;=90,F28&lt;=115),"J","N")))</f>
        <v/>
      </c>
      <c r="R28" s="7">
        <f>IF(B28="","",IF(OR(D28="Etagenwohnung",G28="N"),0,ROUND(100*(3*IF(H28="J",1,IF(H28="N",0,0.5))+3*IF(I28="J",1,IF(I28="N",0,0.5))+2*IF(J28="J",1,IF(J28="N",0,0.5))+2*IF(K28="J",1,IF(K28="N",0,0.5))+1*IF(L28="J",1,IF(L28="N",0,0.5))+1*IF(M28="J",1,IF(M28="N",0,0.5))+1*IF(N28="J",1,IF(N28="N",0,0.5))+1*IF(O28="J",1,IF(O28="N",0,0.5))+2*IF(P28="J",1,IF(P28="N",0,0.5))+3*IF(Q28="J",1,IF(Q28="N",0,0.5)))/19,0)))</f>
        <v/>
      </c>
      <c r="S28" s="7" t="n"/>
      <c r="T28" s="5" t="n"/>
    </row>
    <row r="29">
      <c r="A29" s="5" t="n"/>
      <c r="B29" s="5" t="n"/>
      <c r="C29" s="5" t="n"/>
      <c r="D29" s="5" t="n"/>
      <c r="E29" s="6" t="n"/>
      <c r="F29" s="5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>
        <f>IF(B29="","",IF(E29="","?",IF(E29&lt;=1250000,"J","N")))</f>
        <v/>
      </c>
      <c r="Q29" s="7">
        <f>IF(B29="","",IF(F29="","?",IF(AND(F29&gt;=90,F29&lt;=115),"J","N")))</f>
        <v/>
      </c>
      <c r="R29" s="7">
        <f>IF(B29="","",IF(OR(D29="Etagenwohnung",G29="N"),0,ROUND(100*(3*IF(H29="J",1,IF(H29="N",0,0.5))+3*IF(I29="J",1,IF(I29="N",0,0.5))+2*IF(J29="J",1,IF(J29="N",0,0.5))+2*IF(K29="J",1,IF(K29="N",0,0.5))+1*IF(L29="J",1,IF(L29="N",0,0.5))+1*IF(M29="J",1,IF(M29="N",0,0.5))+1*IF(N29="J",1,IF(N29="N",0,0.5))+1*IF(O29="J",1,IF(O29="N",0,0.5))+2*IF(P29="J",1,IF(P29="N",0,0.5))+3*IF(Q29="J",1,IF(Q29="N",0,0.5)))/19,0)))</f>
        <v/>
      </c>
      <c r="S29" s="7" t="n"/>
      <c r="T29" s="5" t="n"/>
    </row>
    <row r="30">
      <c r="A30" s="5" t="n"/>
      <c r="B30" s="5" t="n"/>
      <c r="C30" s="5" t="n"/>
      <c r="D30" s="5" t="n"/>
      <c r="E30" s="6" t="n"/>
      <c r="F30" s="5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>
        <f>IF(B30="","",IF(E30="","?",IF(E30&lt;=1250000,"J","N")))</f>
        <v/>
      </c>
      <c r="Q30" s="7">
        <f>IF(B30="","",IF(F30="","?",IF(AND(F30&gt;=90,F30&lt;=115),"J","N")))</f>
        <v/>
      </c>
      <c r="R30" s="7">
        <f>IF(B30="","",IF(OR(D30="Etagenwohnung",G30="N"),0,ROUND(100*(3*IF(H30="J",1,IF(H30="N",0,0.5))+3*IF(I30="J",1,IF(I30="N",0,0.5))+2*IF(J30="J",1,IF(J30="N",0,0.5))+2*IF(K30="J",1,IF(K30="N",0,0.5))+1*IF(L30="J",1,IF(L30="N",0,0.5))+1*IF(M30="J",1,IF(M30="N",0,0.5))+1*IF(N30="J",1,IF(N30="N",0,0.5))+1*IF(O30="J",1,IF(O30="N",0,0.5))+2*IF(P30="J",1,IF(P30="N",0,0.5))+3*IF(Q30="J",1,IF(Q30="N",0,0.5)))/19,0)))</f>
        <v/>
      </c>
      <c r="S30" s="7" t="n"/>
      <c r="T30" s="5" t="n"/>
    </row>
    <row r="31">
      <c r="A31" s="5" t="n"/>
      <c r="B31" s="5" t="n"/>
      <c r="C31" s="5" t="n"/>
      <c r="D31" s="5" t="n"/>
      <c r="E31" s="6" t="n"/>
      <c r="F31" s="5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>
        <f>IF(B31="","",IF(E31="","?",IF(E31&lt;=1250000,"J","N")))</f>
        <v/>
      </c>
      <c r="Q31" s="7">
        <f>IF(B31="","",IF(F31="","?",IF(AND(F31&gt;=90,F31&lt;=115),"J","N")))</f>
        <v/>
      </c>
      <c r="R31" s="7">
        <f>IF(B31="","",IF(OR(D31="Etagenwohnung",G31="N"),0,ROUND(100*(3*IF(H31="J",1,IF(H31="N",0,0.5))+3*IF(I31="J",1,IF(I31="N",0,0.5))+2*IF(J31="J",1,IF(J31="N",0,0.5))+2*IF(K31="J",1,IF(K31="N",0,0.5))+1*IF(L31="J",1,IF(L31="N",0,0.5))+1*IF(M31="J",1,IF(M31="N",0,0.5))+1*IF(N31="J",1,IF(N31="N",0,0.5))+1*IF(O31="J",1,IF(O31="N",0,0.5))+2*IF(P31="J",1,IF(P31="N",0,0.5))+3*IF(Q31="J",1,IF(Q31="N",0,0.5)))/19,0)))</f>
        <v/>
      </c>
      <c r="S31" s="7" t="n"/>
      <c r="T31" s="5" t="n"/>
    </row>
    <row r="32">
      <c r="A32" s="5" t="n"/>
      <c r="B32" s="5" t="n"/>
      <c r="C32" s="5" t="n"/>
      <c r="D32" s="5" t="n"/>
      <c r="E32" s="6" t="n"/>
      <c r="F32" s="5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>
        <f>IF(B32="","",IF(E32="","?",IF(E32&lt;=1250000,"J","N")))</f>
        <v/>
      </c>
      <c r="Q32" s="7">
        <f>IF(B32="","",IF(F32="","?",IF(AND(F32&gt;=90,F32&lt;=115),"J","N")))</f>
        <v/>
      </c>
      <c r="R32" s="7">
        <f>IF(B32="","",IF(OR(D32="Etagenwohnung",G32="N"),0,ROUND(100*(3*IF(H32="J",1,IF(H32="N",0,0.5))+3*IF(I32="J",1,IF(I32="N",0,0.5))+2*IF(J32="J",1,IF(J32="N",0,0.5))+2*IF(K32="J",1,IF(K32="N",0,0.5))+1*IF(L32="J",1,IF(L32="N",0,0.5))+1*IF(M32="J",1,IF(M32="N",0,0.5))+1*IF(N32="J",1,IF(N32="N",0,0.5))+1*IF(O32="J",1,IF(O32="N",0,0.5))+2*IF(P32="J",1,IF(P32="N",0,0.5))+3*IF(Q32="J",1,IF(Q32="N",0,0.5)))/19,0)))</f>
        <v/>
      </c>
      <c r="S32" s="7" t="n"/>
      <c r="T32" s="5" t="n"/>
    </row>
    <row r="33">
      <c r="A33" s="5" t="n"/>
      <c r="B33" s="5" t="n"/>
      <c r="C33" s="5" t="n"/>
      <c r="D33" s="5" t="n"/>
      <c r="E33" s="6" t="n"/>
      <c r="F33" s="5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>
        <f>IF(B33="","",IF(E33="","?",IF(E33&lt;=1250000,"J","N")))</f>
        <v/>
      </c>
      <c r="Q33" s="7">
        <f>IF(B33="","",IF(F33="","?",IF(AND(F33&gt;=90,F33&lt;=115),"J","N")))</f>
        <v/>
      </c>
      <c r="R33" s="7">
        <f>IF(B33="","",IF(OR(D33="Etagenwohnung",G33="N"),0,ROUND(100*(3*IF(H33="J",1,IF(H33="N",0,0.5))+3*IF(I33="J",1,IF(I33="N",0,0.5))+2*IF(J33="J",1,IF(J33="N",0,0.5))+2*IF(K33="J",1,IF(K33="N",0,0.5))+1*IF(L33="J",1,IF(L33="N",0,0.5))+1*IF(M33="J",1,IF(M33="N",0,0.5))+1*IF(N33="J",1,IF(N33="N",0,0.5))+1*IF(O33="J",1,IF(O33="N",0,0.5))+2*IF(P33="J",1,IF(P33="N",0,0.5))+3*IF(Q33="J",1,IF(Q33="N",0,0.5)))/19,0)))</f>
        <v/>
      </c>
      <c r="S33" s="7" t="n"/>
      <c r="T33" s="5" t="n"/>
    </row>
    <row r="34">
      <c r="A34" s="5" t="n"/>
      <c r="B34" s="5" t="n"/>
      <c r="C34" s="5" t="n"/>
      <c r="D34" s="5" t="n"/>
      <c r="E34" s="6" t="n"/>
      <c r="F34" s="5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>
        <f>IF(B34="","",IF(E34="","?",IF(E34&lt;=1250000,"J","N")))</f>
        <v/>
      </c>
      <c r="Q34" s="7">
        <f>IF(B34="","",IF(F34="","?",IF(AND(F34&gt;=90,F34&lt;=115),"J","N")))</f>
        <v/>
      </c>
      <c r="R34" s="7">
        <f>IF(B34="","",IF(OR(D34="Etagenwohnung",G34="N"),0,ROUND(100*(3*IF(H34="J",1,IF(H34="N",0,0.5))+3*IF(I34="J",1,IF(I34="N",0,0.5))+2*IF(J34="J",1,IF(J34="N",0,0.5))+2*IF(K34="J",1,IF(K34="N",0,0.5))+1*IF(L34="J",1,IF(L34="N",0,0.5))+1*IF(M34="J",1,IF(M34="N",0,0.5))+1*IF(N34="J",1,IF(N34="N",0,0.5))+1*IF(O34="J",1,IF(O34="N",0,0.5))+2*IF(P34="J",1,IF(P34="N",0,0.5))+3*IF(Q34="J",1,IF(Q34="N",0,0.5)))/19,0)))</f>
        <v/>
      </c>
      <c r="S34" s="7" t="n"/>
      <c r="T34" s="5" t="n"/>
    </row>
    <row r="35">
      <c r="A35" s="5" t="n"/>
      <c r="B35" s="5" t="n"/>
      <c r="C35" s="5" t="n"/>
      <c r="D35" s="5" t="n"/>
      <c r="E35" s="6" t="n"/>
      <c r="F35" s="5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>
        <f>IF(B35="","",IF(E35="","?",IF(E35&lt;=1250000,"J","N")))</f>
        <v/>
      </c>
      <c r="Q35" s="7">
        <f>IF(B35="","",IF(F35="","?",IF(AND(F35&gt;=90,F35&lt;=115),"J","N")))</f>
        <v/>
      </c>
      <c r="R35" s="7">
        <f>IF(B35="","",IF(OR(D35="Etagenwohnung",G35="N"),0,ROUND(100*(3*IF(H35="J",1,IF(H35="N",0,0.5))+3*IF(I35="J",1,IF(I35="N",0,0.5))+2*IF(J35="J",1,IF(J35="N",0,0.5))+2*IF(K35="J",1,IF(K35="N",0,0.5))+1*IF(L35="J",1,IF(L35="N",0,0.5))+1*IF(M35="J",1,IF(M35="N",0,0.5))+1*IF(N35="J",1,IF(N35="N",0,0.5))+1*IF(O35="J",1,IF(O35="N",0,0.5))+2*IF(P35="J",1,IF(P35="N",0,0.5))+3*IF(Q35="J",1,IF(Q35="N",0,0.5)))/19,0)))</f>
        <v/>
      </c>
      <c r="S35" s="7" t="n"/>
      <c r="T35" s="5" t="n"/>
    </row>
    <row r="36">
      <c r="A36" s="5" t="n"/>
      <c r="B36" s="5" t="n"/>
      <c r="C36" s="5" t="n"/>
      <c r="D36" s="5" t="n"/>
      <c r="E36" s="6" t="n"/>
      <c r="F36" s="5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>
        <f>IF(B36="","",IF(E36="","?",IF(E36&lt;=1250000,"J","N")))</f>
        <v/>
      </c>
      <c r="Q36" s="7">
        <f>IF(B36="","",IF(F36="","?",IF(AND(F36&gt;=90,F36&lt;=115),"J","N")))</f>
        <v/>
      </c>
      <c r="R36" s="7">
        <f>IF(B36="","",IF(OR(D36="Etagenwohnung",G36="N"),0,ROUND(100*(3*IF(H36="J",1,IF(H36="N",0,0.5))+3*IF(I36="J",1,IF(I36="N",0,0.5))+2*IF(J36="J",1,IF(J36="N",0,0.5))+2*IF(K36="J",1,IF(K36="N",0,0.5))+1*IF(L36="J",1,IF(L36="N",0,0.5))+1*IF(M36="J",1,IF(M36="N",0,0.5))+1*IF(N36="J",1,IF(N36="N",0,0.5))+1*IF(O36="J",1,IF(O36="N",0,0.5))+2*IF(P36="J",1,IF(P36="N",0,0.5))+3*IF(Q36="J",1,IF(Q36="N",0,0.5)))/19,0)))</f>
        <v/>
      </c>
      <c r="S36" s="7" t="n"/>
      <c r="T36" s="5" t="n"/>
    </row>
    <row r="37">
      <c r="A37" s="5" t="n"/>
      <c r="B37" s="5" t="n"/>
      <c r="C37" s="5" t="n"/>
      <c r="D37" s="5" t="n"/>
      <c r="E37" s="6" t="n"/>
      <c r="F37" s="5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>
        <f>IF(B37="","",IF(E37="","?",IF(E37&lt;=1250000,"J","N")))</f>
        <v/>
      </c>
      <c r="Q37" s="7">
        <f>IF(B37="","",IF(F37="","?",IF(AND(F37&gt;=90,F37&lt;=115),"J","N")))</f>
        <v/>
      </c>
      <c r="R37" s="7">
        <f>IF(B37="","",IF(OR(D37="Etagenwohnung",G37="N"),0,ROUND(100*(3*IF(H37="J",1,IF(H37="N",0,0.5))+3*IF(I37="J",1,IF(I37="N",0,0.5))+2*IF(J37="J",1,IF(J37="N",0,0.5))+2*IF(K37="J",1,IF(K37="N",0,0.5))+1*IF(L37="J",1,IF(L37="N",0,0.5))+1*IF(M37="J",1,IF(M37="N",0,0.5))+1*IF(N37="J",1,IF(N37="N",0,0.5))+1*IF(O37="J",1,IF(O37="N",0,0.5))+2*IF(P37="J",1,IF(P37="N",0,0.5))+3*IF(Q37="J",1,IF(Q37="N",0,0.5)))/19,0)))</f>
        <v/>
      </c>
      <c r="S37" s="7" t="n"/>
      <c r="T37" s="5" t="n"/>
    </row>
    <row r="38">
      <c r="A38" s="5" t="n"/>
      <c r="B38" s="5" t="n"/>
      <c r="C38" s="5" t="n"/>
      <c r="D38" s="5" t="n"/>
      <c r="E38" s="6" t="n"/>
      <c r="F38" s="5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>
        <f>IF(B38="","",IF(E38="","?",IF(E38&lt;=1250000,"J","N")))</f>
        <v/>
      </c>
      <c r="Q38" s="7">
        <f>IF(B38="","",IF(F38="","?",IF(AND(F38&gt;=90,F38&lt;=115),"J","N")))</f>
        <v/>
      </c>
      <c r="R38" s="7">
        <f>IF(B38="","",IF(OR(D38="Etagenwohnung",G38="N"),0,ROUND(100*(3*IF(H38="J",1,IF(H38="N",0,0.5))+3*IF(I38="J",1,IF(I38="N",0,0.5))+2*IF(J38="J",1,IF(J38="N",0,0.5))+2*IF(K38="J",1,IF(K38="N",0,0.5))+1*IF(L38="J",1,IF(L38="N",0,0.5))+1*IF(M38="J",1,IF(M38="N",0,0.5))+1*IF(N38="J",1,IF(N38="N",0,0.5))+1*IF(O38="J",1,IF(O38="N",0,0.5))+2*IF(P38="J",1,IF(P38="N",0,0.5))+3*IF(Q38="J",1,IF(Q38="N",0,0.5)))/19,0)))</f>
        <v/>
      </c>
      <c r="S38" s="7" t="n"/>
      <c r="T38" s="5" t="n"/>
    </row>
    <row r="39">
      <c r="A39" s="5" t="n"/>
      <c r="B39" s="5" t="n"/>
      <c r="C39" s="5" t="n"/>
      <c r="D39" s="5" t="n"/>
      <c r="E39" s="6" t="n"/>
      <c r="F39" s="5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>
        <f>IF(B39="","",IF(E39="","?",IF(E39&lt;=1250000,"J","N")))</f>
        <v/>
      </c>
      <c r="Q39" s="7">
        <f>IF(B39="","",IF(F39="","?",IF(AND(F39&gt;=90,F39&lt;=115),"J","N")))</f>
        <v/>
      </c>
      <c r="R39" s="7">
        <f>IF(B39="","",IF(OR(D39="Etagenwohnung",G39="N"),0,ROUND(100*(3*IF(H39="J",1,IF(H39="N",0,0.5))+3*IF(I39="J",1,IF(I39="N",0,0.5))+2*IF(J39="J",1,IF(J39="N",0,0.5))+2*IF(K39="J",1,IF(K39="N",0,0.5))+1*IF(L39="J",1,IF(L39="N",0,0.5))+1*IF(M39="J",1,IF(M39="N",0,0.5))+1*IF(N39="J",1,IF(N39="N",0,0.5))+1*IF(O39="J",1,IF(O39="N",0,0.5))+2*IF(P39="J",1,IF(P39="N",0,0.5))+3*IF(Q39="J",1,IF(Q39="N",0,0.5)))/19,0)))</f>
        <v/>
      </c>
      <c r="S39" s="7" t="n"/>
      <c r="T39" s="5" t="n"/>
    </row>
    <row r="40">
      <c r="A40" s="5" t="n"/>
      <c r="B40" s="5" t="n"/>
      <c r="C40" s="5" t="n"/>
      <c r="D40" s="5" t="n"/>
      <c r="E40" s="6" t="n"/>
      <c r="F40" s="5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>
        <f>IF(B40="","",IF(E40="","?",IF(E40&lt;=1250000,"J","N")))</f>
        <v/>
      </c>
      <c r="Q40" s="7">
        <f>IF(B40="","",IF(F40="","?",IF(AND(F40&gt;=90,F40&lt;=115),"J","N")))</f>
        <v/>
      </c>
      <c r="R40" s="7">
        <f>IF(B40="","",IF(OR(D40="Etagenwohnung",G40="N"),0,ROUND(100*(3*IF(H40="J",1,IF(H40="N",0,0.5))+3*IF(I40="J",1,IF(I40="N",0,0.5))+2*IF(J40="J",1,IF(J40="N",0,0.5))+2*IF(K40="J",1,IF(K40="N",0,0.5))+1*IF(L40="J",1,IF(L40="N",0,0.5))+1*IF(M40="J",1,IF(M40="N",0,0.5))+1*IF(N40="J",1,IF(N40="N",0,0.5))+1*IF(O40="J",1,IF(O40="N",0,0.5))+2*IF(P40="J",1,IF(P40="N",0,0.5))+3*IF(Q40="J",1,IF(Q40="N",0,0.5)))/19,0)))</f>
        <v/>
      </c>
      <c r="S40" s="7" t="n"/>
      <c r="T40" s="5" t="n"/>
    </row>
    <row r="41">
      <c r="A41" s="5" t="n"/>
      <c r="B41" s="5" t="n"/>
      <c r="C41" s="5" t="n"/>
      <c r="D41" s="5" t="n"/>
      <c r="E41" s="6" t="n"/>
      <c r="F41" s="5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>
        <f>IF(B41="","",IF(E41="","?",IF(E41&lt;=1250000,"J","N")))</f>
        <v/>
      </c>
      <c r="Q41" s="7">
        <f>IF(B41="","",IF(F41="","?",IF(AND(F41&gt;=90,F41&lt;=115),"J","N")))</f>
        <v/>
      </c>
      <c r="R41" s="7">
        <f>IF(B41="","",IF(OR(D41="Etagenwohnung",G41="N"),0,ROUND(100*(3*IF(H41="J",1,IF(H41="N",0,0.5))+3*IF(I41="J",1,IF(I41="N",0,0.5))+2*IF(J41="J",1,IF(J41="N",0,0.5))+2*IF(K41="J",1,IF(K41="N",0,0.5))+1*IF(L41="J",1,IF(L41="N",0,0.5))+1*IF(M41="J",1,IF(M41="N",0,0.5))+1*IF(N41="J",1,IF(N41="N",0,0.5))+1*IF(O41="J",1,IF(O41="N",0,0.5))+2*IF(P41="J",1,IF(P41="N",0,0.5))+3*IF(Q41="J",1,IF(Q41="N",0,0.5)))/19,0)))</f>
        <v/>
      </c>
      <c r="S41" s="7" t="n"/>
      <c r="T41" s="5" t="n"/>
    </row>
    <row r="42">
      <c r="A42" s="5" t="n"/>
      <c r="B42" s="5" t="n"/>
      <c r="C42" s="5" t="n"/>
      <c r="D42" s="5" t="n"/>
      <c r="E42" s="6" t="n"/>
      <c r="F42" s="5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>
        <f>IF(B42="","",IF(E42="","?",IF(E42&lt;=1250000,"J","N")))</f>
        <v/>
      </c>
      <c r="Q42" s="7">
        <f>IF(B42="","",IF(F42="","?",IF(AND(F42&gt;=90,F42&lt;=115),"J","N")))</f>
        <v/>
      </c>
      <c r="R42" s="7">
        <f>IF(B42="","",IF(OR(D42="Etagenwohnung",G42="N"),0,ROUND(100*(3*IF(H42="J",1,IF(H42="N",0,0.5))+3*IF(I42="J",1,IF(I42="N",0,0.5))+2*IF(J42="J",1,IF(J42="N",0,0.5))+2*IF(K42="J",1,IF(K42="N",0,0.5))+1*IF(L42="J",1,IF(L42="N",0,0.5))+1*IF(M42="J",1,IF(M42="N",0,0.5))+1*IF(N42="J",1,IF(N42="N",0,0.5))+1*IF(O42="J",1,IF(O42="N",0,0.5))+2*IF(P42="J",1,IF(P42="N",0,0.5))+3*IF(Q42="J",1,IF(Q42="N",0,0.5)))/19,0)))</f>
        <v/>
      </c>
      <c r="S42" s="7" t="n"/>
      <c r="T42" s="5" t="n"/>
    </row>
    <row r="43">
      <c r="A43" s="5" t="n"/>
      <c r="B43" s="5" t="n"/>
      <c r="C43" s="5" t="n"/>
      <c r="D43" s="5" t="n"/>
      <c r="E43" s="6" t="n"/>
      <c r="F43" s="5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>
        <f>IF(B43="","",IF(E43="","?",IF(E43&lt;=1250000,"J","N")))</f>
        <v/>
      </c>
      <c r="Q43" s="7">
        <f>IF(B43="","",IF(F43="","?",IF(AND(F43&gt;=90,F43&lt;=115),"J","N")))</f>
        <v/>
      </c>
      <c r="R43" s="7">
        <f>IF(B43="","",IF(OR(D43="Etagenwohnung",G43="N"),0,ROUND(100*(3*IF(H43="J",1,IF(H43="N",0,0.5))+3*IF(I43="J",1,IF(I43="N",0,0.5))+2*IF(J43="J",1,IF(J43="N",0,0.5))+2*IF(K43="J",1,IF(K43="N",0,0.5))+1*IF(L43="J",1,IF(L43="N",0,0.5))+1*IF(M43="J",1,IF(M43="N",0,0.5))+1*IF(N43="J",1,IF(N43="N",0,0.5))+1*IF(O43="J",1,IF(O43="N",0,0.5))+2*IF(P43="J",1,IF(P43="N",0,0.5))+3*IF(Q43="J",1,IF(Q43="N",0,0.5)))/19,0)))</f>
        <v/>
      </c>
      <c r="S43" s="7" t="n"/>
      <c r="T43" s="5" t="n"/>
    </row>
    <row r="44">
      <c r="A44" s="5" t="n"/>
      <c r="B44" s="5" t="n"/>
      <c r="C44" s="5" t="n"/>
      <c r="D44" s="5" t="n"/>
      <c r="E44" s="6" t="n"/>
      <c r="F44" s="5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>
        <f>IF(B44="","",IF(E44="","?",IF(E44&lt;=1250000,"J","N")))</f>
        <v/>
      </c>
      <c r="Q44" s="7">
        <f>IF(B44="","",IF(F44="","?",IF(AND(F44&gt;=90,F44&lt;=115),"J","N")))</f>
        <v/>
      </c>
      <c r="R44" s="7">
        <f>IF(B44="","",IF(OR(D44="Etagenwohnung",G44="N"),0,ROUND(100*(3*IF(H44="J",1,IF(H44="N",0,0.5))+3*IF(I44="J",1,IF(I44="N",0,0.5))+2*IF(J44="J",1,IF(J44="N",0,0.5))+2*IF(K44="J",1,IF(K44="N",0,0.5))+1*IF(L44="J",1,IF(L44="N",0,0.5))+1*IF(M44="J",1,IF(M44="N",0,0.5))+1*IF(N44="J",1,IF(N44="N",0,0.5))+1*IF(O44="J",1,IF(O44="N",0,0.5))+2*IF(P44="J",1,IF(P44="N",0,0.5))+3*IF(Q44="J",1,IF(Q44="N",0,0.5)))/19,0)))</f>
        <v/>
      </c>
      <c r="S44" s="7" t="n"/>
      <c r="T44" s="5" t="n"/>
    </row>
    <row r="45">
      <c r="A45" s="5" t="n"/>
      <c r="B45" s="5" t="n"/>
      <c r="C45" s="5" t="n"/>
      <c r="D45" s="5" t="n"/>
      <c r="E45" s="6" t="n"/>
      <c r="F45" s="5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>
        <f>IF(B45="","",IF(E45="","?",IF(E45&lt;=1250000,"J","N")))</f>
        <v/>
      </c>
      <c r="Q45" s="7">
        <f>IF(B45="","",IF(F45="","?",IF(AND(F45&gt;=90,F45&lt;=115),"J","N")))</f>
        <v/>
      </c>
      <c r="R45" s="7">
        <f>IF(B45="","",IF(OR(D45="Etagenwohnung",G45="N"),0,ROUND(100*(3*IF(H45="J",1,IF(H45="N",0,0.5))+3*IF(I45="J",1,IF(I45="N",0,0.5))+2*IF(J45="J",1,IF(J45="N",0,0.5))+2*IF(K45="J",1,IF(K45="N",0,0.5))+1*IF(L45="J",1,IF(L45="N",0,0.5))+1*IF(M45="J",1,IF(M45="N",0,0.5))+1*IF(N45="J",1,IF(N45="N",0,0.5))+1*IF(O45="J",1,IF(O45="N",0,0.5))+2*IF(P45="J",1,IF(P45="N",0,0.5))+3*IF(Q45="J",1,IF(Q45="N",0,0.5)))/19,0)))</f>
        <v/>
      </c>
      <c r="S45" s="7" t="n"/>
      <c r="T45" s="5" t="n"/>
    </row>
    <row r="46">
      <c r="A46" s="5" t="n"/>
      <c r="B46" s="5" t="n"/>
      <c r="C46" s="5" t="n"/>
      <c r="D46" s="5" t="n"/>
      <c r="E46" s="6" t="n"/>
      <c r="F46" s="5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>
        <f>IF(B46="","",IF(E46="","?",IF(E46&lt;=1250000,"J","N")))</f>
        <v/>
      </c>
      <c r="Q46" s="7">
        <f>IF(B46="","",IF(F46="","?",IF(AND(F46&gt;=90,F46&lt;=115),"J","N")))</f>
        <v/>
      </c>
      <c r="R46" s="7">
        <f>IF(B46="","",IF(OR(D46="Etagenwohnung",G46="N"),0,ROUND(100*(3*IF(H46="J",1,IF(H46="N",0,0.5))+3*IF(I46="J",1,IF(I46="N",0,0.5))+2*IF(J46="J",1,IF(J46="N",0,0.5))+2*IF(K46="J",1,IF(K46="N",0,0.5))+1*IF(L46="J",1,IF(L46="N",0,0.5))+1*IF(M46="J",1,IF(M46="N",0,0.5))+1*IF(N46="J",1,IF(N46="N",0,0.5))+1*IF(O46="J",1,IF(O46="N",0,0.5))+2*IF(P46="J",1,IF(P46="N",0,0.5))+3*IF(Q46="J",1,IF(Q46="N",0,0.5)))/19,0)))</f>
        <v/>
      </c>
      <c r="S46" s="7" t="n"/>
      <c r="T46" s="5" t="n"/>
    </row>
    <row r="47">
      <c r="A47" s="5" t="n"/>
      <c r="B47" s="5" t="n"/>
      <c r="C47" s="5" t="n"/>
      <c r="D47" s="5" t="n"/>
      <c r="E47" s="6" t="n"/>
      <c r="F47" s="5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>
        <f>IF(B47="","",IF(E47="","?",IF(E47&lt;=1250000,"J","N")))</f>
        <v/>
      </c>
      <c r="Q47" s="7">
        <f>IF(B47="","",IF(F47="","?",IF(AND(F47&gt;=90,F47&lt;=115),"J","N")))</f>
        <v/>
      </c>
      <c r="R47" s="7">
        <f>IF(B47="","",IF(OR(D47="Etagenwohnung",G47="N"),0,ROUND(100*(3*IF(H47="J",1,IF(H47="N",0,0.5))+3*IF(I47="J",1,IF(I47="N",0,0.5))+2*IF(J47="J",1,IF(J47="N",0,0.5))+2*IF(K47="J",1,IF(K47="N",0,0.5))+1*IF(L47="J",1,IF(L47="N",0,0.5))+1*IF(M47="J",1,IF(M47="N",0,0.5))+1*IF(N47="J",1,IF(N47="N",0,0.5))+1*IF(O47="J",1,IF(O47="N",0,0.5))+2*IF(P47="J",1,IF(P47="N",0,0.5))+3*IF(Q47="J",1,IF(Q47="N",0,0.5)))/19,0)))</f>
        <v/>
      </c>
      <c r="S47" s="7" t="n"/>
      <c r="T47" s="5" t="n"/>
    </row>
    <row r="48">
      <c r="A48" s="5" t="n"/>
      <c r="B48" s="5" t="n"/>
      <c r="C48" s="5" t="n"/>
      <c r="D48" s="5" t="n"/>
      <c r="E48" s="6" t="n"/>
      <c r="F48" s="5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>
        <f>IF(B48="","",IF(E48="","?",IF(E48&lt;=1250000,"J","N")))</f>
        <v/>
      </c>
      <c r="Q48" s="7">
        <f>IF(B48="","",IF(F48="","?",IF(AND(F48&gt;=90,F48&lt;=115),"J","N")))</f>
        <v/>
      </c>
      <c r="R48" s="7">
        <f>IF(B48="","",IF(OR(D48="Etagenwohnung",G48="N"),0,ROUND(100*(3*IF(H48="J",1,IF(H48="N",0,0.5))+3*IF(I48="J",1,IF(I48="N",0,0.5))+2*IF(J48="J",1,IF(J48="N",0,0.5))+2*IF(K48="J",1,IF(K48="N",0,0.5))+1*IF(L48="J",1,IF(L48="N",0,0.5))+1*IF(M48="J",1,IF(M48="N",0,0.5))+1*IF(N48="J",1,IF(N48="N",0,0.5))+1*IF(O48="J",1,IF(O48="N",0,0.5))+2*IF(P48="J",1,IF(P48="N",0,0.5))+3*IF(Q48="J",1,IF(Q48="N",0,0.5)))/19,0)))</f>
        <v/>
      </c>
      <c r="S48" s="7" t="n"/>
      <c r="T48" s="5" t="n"/>
    </row>
    <row r="49">
      <c r="A49" s="5" t="n"/>
      <c r="B49" s="5" t="n"/>
      <c r="C49" s="5" t="n"/>
      <c r="D49" s="5" t="n"/>
      <c r="E49" s="6" t="n"/>
      <c r="F49" s="5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>
        <f>IF(B49="","",IF(E49="","?",IF(E49&lt;=1250000,"J","N")))</f>
        <v/>
      </c>
      <c r="Q49" s="7">
        <f>IF(B49="","",IF(F49="","?",IF(AND(F49&gt;=90,F49&lt;=115),"J","N")))</f>
        <v/>
      </c>
      <c r="R49" s="7">
        <f>IF(B49="","",IF(OR(D49="Etagenwohnung",G49="N"),0,ROUND(100*(3*IF(H49="J",1,IF(H49="N",0,0.5))+3*IF(I49="J",1,IF(I49="N",0,0.5))+2*IF(J49="J",1,IF(J49="N",0,0.5))+2*IF(K49="J",1,IF(K49="N",0,0.5))+1*IF(L49="J",1,IF(L49="N",0,0.5))+1*IF(M49="J",1,IF(M49="N",0,0.5))+1*IF(N49="J",1,IF(N49="N",0,0.5))+1*IF(O49="J",1,IF(O49="N",0,0.5))+2*IF(P49="J",1,IF(P49="N",0,0.5))+3*IF(Q49="J",1,IF(Q49="N",0,0.5)))/19,0)))</f>
        <v/>
      </c>
      <c r="S49" s="7" t="n"/>
      <c r="T49" s="5" t="n"/>
    </row>
    <row r="50">
      <c r="A50" s="5" t="n"/>
      <c r="B50" s="5" t="n"/>
      <c r="C50" s="5" t="n"/>
      <c r="D50" s="5" t="n"/>
      <c r="E50" s="6" t="n"/>
      <c r="F50" s="5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>
        <f>IF(B50="","",IF(E50="","?",IF(E50&lt;=1250000,"J","N")))</f>
        <v/>
      </c>
      <c r="Q50" s="7">
        <f>IF(B50="","",IF(F50="","?",IF(AND(F50&gt;=90,F50&lt;=115),"J","N")))</f>
        <v/>
      </c>
      <c r="R50" s="7">
        <f>IF(B50="","",IF(OR(D50="Etagenwohnung",G50="N"),0,ROUND(100*(3*IF(H50="J",1,IF(H50="N",0,0.5))+3*IF(I50="J",1,IF(I50="N",0,0.5))+2*IF(J50="J",1,IF(J50="N",0,0.5))+2*IF(K50="J",1,IF(K50="N",0,0.5))+1*IF(L50="J",1,IF(L50="N",0,0.5))+1*IF(M50="J",1,IF(M50="N",0,0.5))+1*IF(N50="J",1,IF(N50="N",0,0.5))+1*IF(O50="J",1,IF(O50="N",0,0.5))+2*IF(P50="J",1,IF(P50="N",0,0.5))+3*IF(Q50="J",1,IF(Q50="N",0,0.5)))/19,0)))</f>
        <v/>
      </c>
      <c r="S50" s="7" t="n"/>
      <c r="T50" s="5" t="n"/>
    </row>
    <row r="51">
      <c r="A51" s="5" t="n"/>
      <c r="B51" s="5" t="n"/>
      <c r="C51" s="5" t="n"/>
      <c r="D51" s="5" t="n"/>
      <c r="E51" s="6" t="n"/>
      <c r="F51" s="5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>
        <f>IF(B51="","",IF(E51="","?",IF(E51&lt;=1250000,"J","N")))</f>
        <v/>
      </c>
      <c r="Q51" s="7">
        <f>IF(B51="","",IF(F51="","?",IF(AND(F51&gt;=90,F51&lt;=115),"J","N")))</f>
        <v/>
      </c>
      <c r="R51" s="7">
        <f>IF(B51="","",IF(OR(D51="Etagenwohnung",G51="N"),0,ROUND(100*(3*IF(H51="J",1,IF(H51="N",0,0.5))+3*IF(I51="J",1,IF(I51="N",0,0.5))+2*IF(J51="J",1,IF(J51="N",0,0.5))+2*IF(K51="J",1,IF(K51="N",0,0.5))+1*IF(L51="J",1,IF(L51="N",0,0.5))+1*IF(M51="J",1,IF(M51="N",0,0.5))+1*IF(N51="J",1,IF(N51="N",0,0.5))+1*IF(O51="J",1,IF(O51="N",0,0.5))+2*IF(P51="J",1,IF(P51="N",0,0.5))+3*IF(Q51="J",1,IF(Q51="N",0,0.5)))/19,0)))</f>
        <v/>
      </c>
      <c r="S51" s="7" t="n"/>
      <c r="T51" s="5" t="n"/>
    </row>
    <row r="52">
      <c r="A52" s="5" t="n"/>
      <c r="B52" s="5" t="n"/>
      <c r="C52" s="5" t="n"/>
      <c r="D52" s="5" t="n"/>
      <c r="E52" s="6" t="n"/>
      <c r="F52" s="5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>
        <f>IF(B52="","",IF(E52="","?",IF(E52&lt;=1250000,"J","N")))</f>
        <v/>
      </c>
      <c r="Q52" s="7">
        <f>IF(B52="","",IF(F52="","?",IF(AND(F52&gt;=90,F52&lt;=115),"J","N")))</f>
        <v/>
      </c>
      <c r="R52" s="7">
        <f>IF(B52="","",IF(OR(D52="Etagenwohnung",G52="N"),0,ROUND(100*(3*IF(H52="J",1,IF(H52="N",0,0.5))+3*IF(I52="J",1,IF(I52="N",0,0.5))+2*IF(J52="J",1,IF(J52="N",0,0.5))+2*IF(K52="J",1,IF(K52="N",0,0.5))+1*IF(L52="J",1,IF(L52="N",0,0.5))+1*IF(M52="J",1,IF(M52="N",0,0.5))+1*IF(N52="J",1,IF(N52="N",0,0.5))+1*IF(O52="J",1,IF(O52="N",0,0.5))+2*IF(P52="J",1,IF(P52="N",0,0.5))+3*IF(Q52="J",1,IF(Q52="N",0,0.5)))/19,0)))</f>
        <v/>
      </c>
      <c r="S52" s="7" t="n"/>
      <c r="T52" s="5" t="n"/>
    </row>
    <row r="53">
      <c r="A53" s="5" t="n"/>
      <c r="B53" s="5" t="n"/>
      <c r="C53" s="5" t="n"/>
      <c r="D53" s="5" t="n"/>
      <c r="E53" s="6" t="n"/>
      <c r="F53" s="5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>
        <f>IF(B53="","",IF(E53="","?",IF(E53&lt;=1250000,"J","N")))</f>
        <v/>
      </c>
      <c r="Q53" s="7">
        <f>IF(B53="","",IF(F53="","?",IF(AND(F53&gt;=90,F53&lt;=115),"J","N")))</f>
        <v/>
      </c>
      <c r="R53" s="7">
        <f>IF(B53="","",IF(OR(D53="Etagenwohnung",G53="N"),0,ROUND(100*(3*IF(H53="J",1,IF(H53="N",0,0.5))+3*IF(I53="J",1,IF(I53="N",0,0.5))+2*IF(J53="J",1,IF(J53="N",0,0.5))+2*IF(K53="J",1,IF(K53="N",0,0.5))+1*IF(L53="J",1,IF(L53="N",0,0.5))+1*IF(M53="J",1,IF(M53="N",0,0.5))+1*IF(N53="J",1,IF(N53="N",0,0.5))+1*IF(O53="J",1,IF(O53="N",0,0.5))+2*IF(P53="J",1,IF(P53="N",0,0.5))+3*IF(Q53="J",1,IF(Q53="N",0,0.5)))/19,0)))</f>
        <v/>
      </c>
      <c r="S53" s="7" t="n"/>
      <c r="T53" s="5" t="n"/>
    </row>
    <row r="54">
      <c r="A54" s="5" t="n"/>
      <c r="B54" s="5" t="n"/>
      <c r="C54" s="5" t="n"/>
      <c r="D54" s="5" t="n"/>
      <c r="E54" s="6" t="n"/>
      <c r="F54" s="5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>
        <f>IF(B54="","",IF(E54="","?",IF(E54&lt;=1250000,"J","N")))</f>
        <v/>
      </c>
      <c r="Q54" s="7">
        <f>IF(B54="","",IF(F54="","?",IF(AND(F54&gt;=90,F54&lt;=115),"J","N")))</f>
        <v/>
      </c>
      <c r="R54" s="7">
        <f>IF(B54="","",IF(OR(D54="Etagenwohnung",G54="N"),0,ROUND(100*(3*IF(H54="J",1,IF(H54="N",0,0.5))+3*IF(I54="J",1,IF(I54="N",0,0.5))+2*IF(J54="J",1,IF(J54="N",0,0.5))+2*IF(K54="J",1,IF(K54="N",0,0.5))+1*IF(L54="J",1,IF(L54="N",0,0.5))+1*IF(M54="J",1,IF(M54="N",0,0.5))+1*IF(N54="J",1,IF(N54="N",0,0.5))+1*IF(O54="J",1,IF(O54="N",0,0.5))+2*IF(P54="J",1,IF(P54="N",0,0.5))+3*IF(Q54="J",1,IF(Q54="N",0,0.5)))/19,0)))</f>
        <v/>
      </c>
      <c r="S54" s="7" t="n"/>
      <c r="T54" s="5" t="n"/>
    </row>
    <row r="55">
      <c r="A55" s="5" t="n"/>
      <c r="B55" s="5" t="n"/>
      <c r="C55" s="5" t="n"/>
      <c r="D55" s="5" t="n"/>
      <c r="E55" s="6" t="n"/>
      <c r="F55" s="5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>
        <f>IF(B55="","",IF(E55="","?",IF(E55&lt;=1250000,"J","N")))</f>
        <v/>
      </c>
      <c r="Q55" s="7">
        <f>IF(B55="","",IF(F55="","?",IF(AND(F55&gt;=90,F55&lt;=115),"J","N")))</f>
        <v/>
      </c>
      <c r="R55" s="7">
        <f>IF(B55="","",IF(OR(D55="Etagenwohnung",G55="N"),0,ROUND(100*(3*IF(H55="J",1,IF(H55="N",0,0.5))+3*IF(I55="J",1,IF(I55="N",0,0.5))+2*IF(J55="J",1,IF(J55="N",0,0.5))+2*IF(K55="J",1,IF(K55="N",0,0.5))+1*IF(L55="J",1,IF(L55="N",0,0.5))+1*IF(M55="J",1,IF(M55="N",0,0.5))+1*IF(N55="J",1,IF(N55="N",0,0.5))+1*IF(O55="J",1,IF(O55="N",0,0.5))+2*IF(P55="J",1,IF(P55="N",0,0.5))+3*IF(Q55="J",1,IF(Q55="N",0,0.5)))/19,0)))</f>
        <v/>
      </c>
      <c r="S55" s="7" t="n"/>
      <c r="T55" s="5" t="n"/>
    </row>
    <row r="56">
      <c r="A56" s="5" t="n"/>
      <c r="B56" s="5" t="n"/>
      <c r="C56" s="5" t="n"/>
      <c r="D56" s="5" t="n"/>
      <c r="E56" s="6" t="n"/>
      <c r="F56" s="5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>
        <f>IF(B56="","",IF(E56="","?",IF(E56&lt;=1250000,"J","N")))</f>
        <v/>
      </c>
      <c r="Q56" s="7">
        <f>IF(B56="","",IF(F56="","?",IF(AND(F56&gt;=90,F56&lt;=115),"J","N")))</f>
        <v/>
      </c>
      <c r="R56" s="7">
        <f>IF(B56="","",IF(OR(D56="Etagenwohnung",G56="N"),0,ROUND(100*(3*IF(H56="J",1,IF(H56="N",0,0.5))+3*IF(I56="J",1,IF(I56="N",0,0.5))+2*IF(J56="J",1,IF(J56="N",0,0.5))+2*IF(K56="J",1,IF(K56="N",0,0.5))+1*IF(L56="J",1,IF(L56="N",0,0.5))+1*IF(M56="J",1,IF(M56="N",0,0.5))+1*IF(N56="J",1,IF(N56="N",0,0.5))+1*IF(O56="J",1,IF(O56="N",0,0.5))+2*IF(P56="J",1,IF(P56="N",0,0.5))+3*IF(Q56="J",1,IF(Q56="N",0,0.5)))/19,0)))</f>
        <v/>
      </c>
      <c r="S56" s="7" t="n"/>
      <c r="T56" s="5" t="n"/>
    </row>
    <row r="57">
      <c r="A57" s="5" t="n"/>
      <c r="B57" s="5" t="n"/>
      <c r="C57" s="5" t="n"/>
      <c r="D57" s="5" t="n"/>
      <c r="E57" s="6" t="n"/>
      <c r="F57" s="5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>
        <f>IF(B57="","",IF(E57="","?",IF(E57&lt;=1250000,"J","N")))</f>
        <v/>
      </c>
      <c r="Q57" s="7">
        <f>IF(B57="","",IF(F57="","?",IF(AND(F57&gt;=90,F57&lt;=115),"J","N")))</f>
        <v/>
      </c>
      <c r="R57" s="7">
        <f>IF(B57="","",IF(OR(D57="Etagenwohnung",G57="N"),0,ROUND(100*(3*IF(H57="J",1,IF(H57="N",0,0.5))+3*IF(I57="J",1,IF(I57="N",0,0.5))+2*IF(J57="J",1,IF(J57="N",0,0.5))+2*IF(K57="J",1,IF(K57="N",0,0.5))+1*IF(L57="J",1,IF(L57="N",0,0.5))+1*IF(M57="J",1,IF(M57="N",0,0.5))+1*IF(N57="J",1,IF(N57="N",0,0.5))+1*IF(O57="J",1,IF(O57="N",0,0.5))+2*IF(P57="J",1,IF(P57="N",0,0.5))+3*IF(Q57="J",1,IF(Q57="N",0,0.5)))/19,0)))</f>
        <v/>
      </c>
      <c r="S57" s="7" t="n"/>
      <c r="T57" s="5" t="n"/>
    </row>
    <row r="58">
      <c r="A58" s="5" t="n"/>
      <c r="B58" s="5" t="n"/>
      <c r="C58" s="5" t="n"/>
      <c r="D58" s="5" t="n"/>
      <c r="E58" s="6" t="n"/>
      <c r="F58" s="5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>
        <f>IF(B58="","",IF(E58="","?",IF(E58&lt;=1250000,"J","N")))</f>
        <v/>
      </c>
      <c r="Q58" s="7">
        <f>IF(B58="","",IF(F58="","?",IF(AND(F58&gt;=90,F58&lt;=115),"J","N")))</f>
        <v/>
      </c>
      <c r="R58" s="7">
        <f>IF(B58="","",IF(OR(D58="Etagenwohnung",G58="N"),0,ROUND(100*(3*IF(H58="J",1,IF(H58="N",0,0.5))+3*IF(I58="J",1,IF(I58="N",0,0.5))+2*IF(J58="J",1,IF(J58="N",0,0.5))+2*IF(K58="J",1,IF(K58="N",0,0.5))+1*IF(L58="J",1,IF(L58="N",0,0.5))+1*IF(M58="J",1,IF(M58="N",0,0.5))+1*IF(N58="J",1,IF(N58="N",0,0.5))+1*IF(O58="J",1,IF(O58="N",0,0.5))+2*IF(P58="J",1,IF(P58="N",0,0.5))+3*IF(Q58="J",1,IF(Q58="N",0,0.5)))/19,0)))</f>
        <v/>
      </c>
      <c r="S58" s="7" t="n"/>
      <c r="T58" s="5" t="n"/>
    </row>
    <row r="59">
      <c r="A59" s="5" t="n"/>
      <c r="B59" s="5" t="n"/>
      <c r="C59" s="5" t="n"/>
      <c r="D59" s="5" t="n"/>
      <c r="E59" s="6" t="n"/>
      <c r="F59" s="5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>
        <f>IF(B59="","",IF(E59="","?",IF(E59&lt;=1250000,"J","N")))</f>
        <v/>
      </c>
      <c r="Q59" s="7">
        <f>IF(B59="","",IF(F59="","?",IF(AND(F59&gt;=90,F59&lt;=115),"J","N")))</f>
        <v/>
      </c>
      <c r="R59" s="7">
        <f>IF(B59="","",IF(OR(D59="Etagenwohnung",G59="N"),0,ROUND(100*(3*IF(H59="J",1,IF(H59="N",0,0.5))+3*IF(I59="J",1,IF(I59="N",0,0.5))+2*IF(J59="J",1,IF(J59="N",0,0.5))+2*IF(K59="J",1,IF(K59="N",0,0.5))+1*IF(L59="J",1,IF(L59="N",0,0.5))+1*IF(M59="J",1,IF(M59="N",0,0.5))+1*IF(N59="J",1,IF(N59="N",0,0.5))+1*IF(O59="J",1,IF(O59="N",0,0.5))+2*IF(P59="J",1,IF(P59="N",0,0.5))+3*IF(Q59="J",1,IF(Q59="N",0,0.5)))/19,0)))</f>
        <v/>
      </c>
      <c r="S59" s="7" t="n"/>
      <c r="T59" s="5" t="n"/>
    </row>
    <row r="60">
      <c r="A60" s="5" t="n"/>
      <c r="B60" s="5" t="n"/>
      <c r="C60" s="5" t="n"/>
      <c r="D60" s="5" t="n"/>
      <c r="E60" s="6" t="n"/>
      <c r="F60" s="5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>
        <f>IF(B60="","",IF(E60="","?",IF(E60&lt;=1250000,"J","N")))</f>
        <v/>
      </c>
      <c r="Q60" s="7">
        <f>IF(B60="","",IF(F60="","?",IF(AND(F60&gt;=90,F60&lt;=115),"J","N")))</f>
        <v/>
      </c>
      <c r="R60" s="7">
        <f>IF(B60="","",IF(OR(D60="Etagenwohnung",G60="N"),0,ROUND(100*(3*IF(H60="J",1,IF(H60="N",0,0.5))+3*IF(I60="J",1,IF(I60="N",0,0.5))+2*IF(J60="J",1,IF(J60="N",0,0.5))+2*IF(K60="J",1,IF(K60="N",0,0.5))+1*IF(L60="J",1,IF(L60="N",0,0.5))+1*IF(M60="J",1,IF(M60="N",0,0.5))+1*IF(N60="J",1,IF(N60="N",0,0.5))+1*IF(O60="J",1,IF(O60="N",0,0.5))+2*IF(P60="J",1,IF(P60="N",0,0.5))+3*IF(Q60="J",1,IF(Q60="N",0,0.5)))/19,0)))</f>
        <v/>
      </c>
      <c r="S60" s="7" t="n"/>
      <c r="T60" s="5" t="n"/>
    </row>
    <row r="61">
      <c r="A61" s="5" t="n"/>
      <c r="B61" s="5" t="n"/>
      <c r="C61" s="5" t="n"/>
      <c r="D61" s="5" t="n"/>
      <c r="E61" s="6" t="n"/>
      <c r="F61" s="5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>
        <f>IF(B61="","",IF(E61="","?",IF(E61&lt;=1250000,"J","N")))</f>
        <v/>
      </c>
      <c r="Q61" s="7">
        <f>IF(B61="","",IF(F61="","?",IF(AND(F61&gt;=90,F61&lt;=115),"J","N")))</f>
        <v/>
      </c>
      <c r="R61" s="7">
        <f>IF(B61="","",IF(OR(D61="Etagenwohnung",G61="N"),0,ROUND(100*(3*IF(H61="J",1,IF(H61="N",0,0.5))+3*IF(I61="J",1,IF(I61="N",0,0.5))+2*IF(J61="J",1,IF(J61="N",0,0.5))+2*IF(K61="J",1,IF(K61="N",0,0.5))+1*IF(L61="J",1,IF(L61="N",0,0.5))+1*IF(M61="J",1,IF(M61="N",0,0.5))+1*IF(N61="J",1,IF(N61="N",0,0.5))+1*IF(O61="J",1,IF(O61="N",0,0.5))+2*IF(P61="J",1,IF(P61="N",0,0.5))+3*IF(Q61="J",1,IF(Q61="N",0,0.5)))/19,0)))</f>
        <v/>
      </c>
      <c r="S61" s="7" t="n"/>
      <c r="T61" s="5" t="n"/>
    </row>
    <row r="62">
      <c r="A62" s="5" t="n"/>
      <c r="B62" s="5" t="n"/>
      <c r="C62" s="5" t="n"/>
      <c r="D62" s="5" t="n"/>
      <c r="E62" s="6" t="n"/>
      <c r="F62" s="5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>
        <f>IF(B62="","",IF(E62="","?",IF(E62&lt;=1250000,"J","N")))</f>
        <v/>
      </c>
      <c r="Q62" s="7">
        <f>IF(B62="","",IF(F62="","?",IF(AND(F62&gt;=90,F62&lt;=115),"J","N")))</f>
        <v/>
      </c>
      <c r="R62" s="7">
        <f>IF(B62="","",IF(OR(D62="Etagenwohnung",G62="N"),0,ROUND(100*(3*IF(H62="J",1,IF(H62="N",0,0.5))+3*IF(I62="J",1,IF(I62="N",0,0.5))+2*IF(J62="J",1,IF(J62="N",0,0.5))+2*IF(K62="J",1,IF(K62="N",0,0.5))+1*IF(L62="J",1,IF(L62="N",0,0.5))+1*IF(M62="J",1,IF(M62="N",0,0.5))+1*IF(N62="J",1,IF(N62="N",0,0.5))+1*IF(O62="J",1,IF(O62="N",0,0.5))+2*IF(P62="J",1,IF(P62="N",0,0.5))+3*IF(Q62="J",1,IF(Q62="N",0,0.5)))/19,0)))</f>
        <v/>
      </c>
      <c r="S62" s="7" t="n"/>
      <c r="T62" s="5" t="n"/>
    </row>
    <row r="63">
      <c r="A63" s="5" t="n"/>
      <c r="B63" s="5" t="n"/>
      <c r="C63" s="5" t="n"/>
      <c r="D63" s="5" t="n"/>
      <c r="E63" s="6" t="n"/>
      <c r="F63" s="5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>
        <f>IF(B63="","",IF(E63="","?",IF(E63&lt;=1250000,"J","N")))</f>
        <v/>
      </c>
      <c r="Q63" s="7">
        <f>IF(B63="","",IF(F63="","?",IF(AND(F63&gt;=90,F63&lt;=115),"J","N")))</f>
        <v/>
      </c>
      <c r="R63" s="7">
        <f>IF(B63="","",IF(OR(D63="Etagenwohnung",G63="N"),0,ROUND(100*(3*IF(H63="J",1,IF(H63="N",0,0.5))+3*IF(I63="J",1,IF(I63="N",0,0.5))+2*IF(J63="J",1,IF(J63="N",0,0.5))+2*IF(K63="J",1,IF(K63="N",0,0.5))+1*IF(L63="J",1,IF(L63="N",0,0.5))+1*IF(M63="J",1,IF(M63="N",0,0.5))+1*IF(N63="J",1,IF(N63="N",0,0.5))+1*IF(O63="J",1,IF(O63="N",0,0.5))+2*IF(P63="J",1,IF(P63="N",0,0.5))+3*IF(Q63="J",1,IF(Q63="N",0,0.5)))/19,0)))</f>
        <v/>
      </c>
      <c r="S63" s="7" t="n"/>
      <c r="T63" s="5" t="n"/>
    </row>
    <row r="64">
      <c r="A64" s="5" t="n"/>
      <c r="B64" s="5" t="n"/>
      <c r="C64" s="5" t="n"/>
      <c r="D64" s="5" t="n"/>
      <c r="E64" s="6" t="n"/>
      <c r="F64" s="5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>
        <f>IF(B64="","",IF(E64="","?",IF(E64&lt;=1250000,"J","N")))</f>
        <v/>
      </c>
      <c r="Q64" s="7">
        <f>IF(B64="","",IF(F64="","?",IF(AND(F64&gt;=90,F64&lt;=115),"J","N")))</f>
        <v/>
      </c>
      <c r="R64" s="7">
        <f>IF(B64="","",IF(OR(D64="Etagenwohnung",G64="N"),0,ROUND(100*(3*IF(H64="J",1,IF(H64="N",0,0.5))+3*IF(I64="J",1,IF(I64="N",0,0.5))+2*IF(J64="J",1,IF(J64="N",0,0.5))+2*IF(K64="J",1,IF(K64="N",0,0.5))+1*IF(L64="J",1,IF(L64="N",0,0.5))+1*IF(M64="J",1,IF(M64="N",0,0.5))+1*IF(N64="J",1,IF(N64="N",0,0.5))+1*IF(O64="J",1,IF(O64="N",0,0.5))+2*IF(P64="J",1,IF(P64="N",0,0.5))+3*IF(Q64="J",1,IF(Q64="N",0,0.5)))/19,0)))</f>
        <v/>
      </c>
      <c r="S64" s="7" t="n"/>
      <c r="T64" s="5" t="n"/>
    </row>
    <row r="65">
      <c r="A65" s="5" t="n"/>
      <c r="B65" s="5" t="n"/>
      <c r="C65" s="5" t="n"/>
      <c r="D65" s="5" t="n"/>
      <c r="E65" s="6" t="n"/>
      <c r="F65" s="5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>
        <f>IF(B65="","",IF(E65="","?",IF(E65&lt;=1250000,"J","N")))</f>
        <v/>
      </c>
      <c r="Q65" s="7">
        <f>IF(B65="","",IF(F65="","?",IF(AND(F65&gt;=90,F65&lt;=115),"J","N")))</f>
        <v/>
      </c>
      <c r="R65" s="7">
        <f>IF(B65="","",IF(OR(D65="Etagenwohnung",G65="N"),0,ROUND(100*(3*IF(H65="J",1,IF(H65="N",0,0.5))+3*IF(I65="J",1,IF(I65="N",0,0.5))+2*IF(J65="J",1,IF(J65="N",0,0.5))+2*IF(K65="J",1,IF(K65="N",0,0.5))+1*IF(L65="J",1,IF(L65="N",0,0.5))+1*IF(M65="J",1,IF(M65="N",0,0.5))+1*IF(N65="J",1,IF(N65="N",0,0.5))+1*IF(O65="J",1,IF(O65="N",0,0.5))+2*IF(P65="J",1,IF(P65="N",0,0.5))+3*IF(Q65="J",1,IF(Q65="N",0,0.5)))/19,0)))</f>
        <v/>
      </c>
      <c r="S65" s="7" t="n"/>
      <c r="T65" s="5" t="n"/>
    </row>
    <row r="66">
      <c r="A66" s="5" t="n"/>
      <c r="B66" s="5" t="n"/>
      <c r="C66" s="5" t="n"/>
      <c r="D66" s="5" t="n"/>
      <c r="E66" s="6" t="n"/>
      <c r="F66" s="5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>
        <f>IF(B66="","",IF(E66="","?",IF(E66&lt;=1250000,"J","N")))</f>
        <v/>
      </c>
      <c r="Q66" s="7">
        <f>IF(B66="","",IF(F66="","?",IF(AND(F66&gt;=90,F66&lt;=115),"J","N")))</f>
        <v/>
      </c>
      <c r="R66" s="7">
        <f>IF(B66="","",IF(OR(D66="Etagenwohnung",G66="N"),0,ROUND(100*(3*IF(H66="J",1,IF(H66="N",0,0.5))+3*IF(I66="J",1,IF(I66="N",0,0.5))+2*IF(J66="J",1,IF(J66="N",0,0.5))+2*IF(K66="J",1,IF(K66="N",0,0.5))+1*IF(L66="J",1,IF(L66="N",0,0.5))+1*IF(M66="J",1,IF(M66="N",0,0.5))+1*IF(N66="J",1,IF(N66="N",0,0.5))+1*IF(O66="J",1,IF(O66="N",0,0.5))+2*IF(P66="J",1,IF(P66="N",0,0.5))+3*IF(Q66="J",1,IF(Q66="N",0,0.5)))/19,0)))</f>
        <v/>
      </c>
      <c r="S66" s="7" t="n"/>
      <c r="T66" s="5" t="n"/>
    </row>
    <row r="67">
      <c r="A67" s="5" t="n"/>
      <c r="B67" s="5" t="n"/>
      <c r="C67" s="5" t="n"/>
      <c r="D67" s="5" t="n"/>
      <c r="E67" s="6" t="n"/>
      <c r="F67" s="5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>
        <f>IF(B67="","",IF(E67="","?",IF(E67&lt;=1250000,"J","N")))</f>
        <v/>
      </c>
      <c r="Q67" s="7">
        <f>IF(B67="","",IF(F67="","?",IF(AND(F67&gt;=90,F67&lt;=115),"J","N")))</f>
        <v/>
      </c>
      <c r="R67" s="7">
        <f>IF(B67="","",IF(OR(D67="Etagenwohnung",G67="N"),0,ROUND(100*(3*IF(H67="J",1,IF(H67="N",0,0.5))+3*IF(I67="J",1,IF(I67="N",0,0.5))+2*IF(J67="J",1,IF(J67="N",0,0.5))+2*IF(K67="J",1,IF(K67="N",0,0.5))+1*IF(L67="J",1,IF(L67="N",0,0.5))+1*IF(M67="J",1,IF(M67="N",0,0.5))+1*IF(N67="J",1,IF(N67="N",0,0.5))+1*IF(O67="J",1,IF(O67="N",0,0.5))+2*IF(P67="J",1,IF(P67="N",0,0.5))+3*IF(Q67="J",1,IF(Q67="N",0,0.5)))/19,0)))</f>
        <v/>
      </c>
      <c r="S67" s="7" t="n"/>
      <c r="T67" s="5" t="n"/>
    </row>
    <row r="68">
      <c r="A68" s="5" t="n"/>
      <c r="B68" s="5" t="n"/>
      <c r="C68" s="5" t="n"/>
      <c r="D68" s="5" t="n"/>
      <c r="E68" s="6" t="n"/>
      <c r="F68" s="5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>
        <f>IF(B68="","",IF(E68="","?",IF(E68&lt;=1250000,"J","N")))</f>
        <v/>
      </c>
      <c r="Q68" s="7">
        <f>IF(B68="","",IF(F68="","?",IF(AND(F68&gt;=90,F68&lt;=115),"J","N")))</f>
        <v/>
      </c>
      <c r="R68" s="7">
        <f>IF(B68="","",IF(OR(D68="Etagenwohnung",G68="N"),0,ROUND(100*(3*IF(H68="J",1,IF(H68="N",0,0.5))+3*IF(I68="J",1,IF(I68="N",0,0.5))+2*IF(J68="J",1,IF(J68="N",0,0.5))+2*IF(K68="J",1,IF(K68="N",0,0.5))+1*IF(L68="J",1,IF(L68="N",0,0.5))+1*IF(M68="J",1,IF(M68="N",0,0.5))+1*IF(N68="J",1,IF(N68="N",0,0.5))+1*IF(O68="J",1,IF(O68="N",0,0.5))+2*IF(P68="J",1,IF(P68="N",0,0.5))+3*IF(Q68="J",1,IF(Q68="N",0,0.5)))/19,0)))</f>
        <v/>
      </c>
      <c r="S68" s="7" t="n"/>
      <c r="T68" s="5" t="n"/>
    </row>
    <row r="69">
      <c r="A69" s="5" t="n"/>
      <c r="B69" s="5" t="n"/>
      <c r="C69" s="5" t="n"/>
      <c r="D69" s="5" t="n"/>
      <c r="E69" s="6" t="n"/>
      <c r="F69" s="5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>
        <f>IF(B69="","",IF(E69="","?",IF(E69&lt;=1250000,"J","N")))</f>
        <v/>
      </c>
      <c r="Q69" s="7">
        <f>IF(B69="","",IF(F69="","?",IF(AND(F69&gt;=90,F69&lt;=115),"J","N")))</f>
        <v/>
      </c>
      <c r="R69" s="7">
        <f>IF(B69="","",IF(OR(D69="Etagenwohnung",G69="N"),0,ROUND(100*(3*IF(H69="J",1,IF(H69="N",0,0.5))+3*IF(I69="J",1,IF(I69="N",0,0.5))+2*IF(J69="J",1,IF(J69="N",0,0.5))+2*IF(K69="J",1,IF(K69="N",0,0.5))+1*IF(L69="J",1,IF(L69="N",0,0.5))+1*IF(M69="J",1,IF(M69="N",0,0.5))+1*IF(N69="J",1,IF(N69="N",0,0.5))+1*IF(O69="J",1,IF(O69="N",0,0.5))+2*IF(P69="J",1,IF(P69="N",0,0.5))+3*IF(Q69="J",1,IF(Q69="N",0,0.5)))/19,0)))</f>
        <v/>
      </c>
      <c r="S69" s="7" t="n"/>
      <c r="T69" s="5" t="n"/>
    </row>
    <row r="70">
      <c r="A70" s="5" t="n"/>
      <c r="B70" s="5" t="n"/>
      <c r="C70" s="5" t="n"/>
      <c r="D70" s="5" t="n"/>
      <c r="E70" s="6" t="n"/>
      <c r="F70" s="5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>
        <f>IF(B70="","",IF(E70="","?",IF(E70&lt;=1250000,"J","N")))</f>
        <v/>
      </c>
      <c r="Q70" s="7">
        <f>IF(B70="","",IF(F70="","?",IF(AND(F70&gt;=90,F70&lt;=115),"J","N")))</f>
        <v/>
      </c>
      <c r="R70" s="7">
        <f>IF(B70="","",IF(OR(D70="Etagenwohnung",G70="N"),0,ROUND(100*(3*IF(H70="J",1,IF(H70="N",0,0.5))+3*IF(I70="J",1,IF(I70="N",0,0.5))+2*IF(J70="J",1,IF(J70="N",0,0.5))+2*IF(K70="J",1,IF(K70="N",0,0.5))+1*IF(L70="J",1,IF(L70="N",0,0.5))+1*IF(M70="J",1,IF(M70="N",0,0.5))+1*IF(N70="J",1,IF(N70="N",0,0.5))+1*IF(O70="J",1,IF(O70="N",0,0.5))+2*IF(P70="J",1,IF(P70="N",0,0.5))+3*IF(Q70="J",1,IF(Q70="N",0,0.5)))/19,0)))</f>
        <v/>
      </c>
      <c r="S70" s="7" t="n"/>
      <c r="T70" s="5" t="n"/>
    </row>
    <row r="71">
      <c r="A71" s="5" t="n"/>
      <c r="B71" s="5" t="n"/>
      <c r="C71" s="5" t="n"/>
      <c r="D71" s="5" t="n"/>
      <c r="E71" s="6" t="n"/>
      <c r="F71" s="5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>
        <f>IF(B71="","",IF(E71="","?",IF(E71&lt;=1250000,"J","N")))</f>
        <v/>
      </c>
      <c r="Q71" s="7">
        <f>IF(B71="","",IF(F71="","?",IF(AND(F71&gt;=90,F71&lt;=115),"J","N")))</f>
        <v/>
      </c>
      <c r="R71" s="7">
        <f>IF(B71="","",IF(OR(D71="Etagenwohnung",G71="N"),0,ROUND(100*(3*IF(H71="J",1,IF(H71="N",0,0.5))+3*IF(I71="J",1,IF(I71="N",0,0.5))+2*IF(J71="J",1,IF(J71="N",0,0.5))+2*IF(K71="J",1,IF(K71="N",0,0.5))+1*IF(L71="J",1,IF(L71="N",0,0.5))+1*IF(M71="J",1,IF(M71="N",0,0.5))+1*IF(N71="J",1,IF(N71="N",0,0.5))+1*IF(O71="J",1,IF(O71="N",0,0.5))+2*IF(P71="J",1,IF(P71="N",0,0.5))+3*IF(Q71="J",1,IF(Q71="N",0,0.5)))/19,0)))</f>
        <v/>
      </c>
      <c r="S71" s="7" t="n"/>
      <c r="T71" s="5" t="n"/>
    </row>
    <row r="72">
      <c r="A72" s="5" t="n"/>
      <c r="B72" s="5" t="n"/>
      <c r="C72" s="5" t="n"/>
      <c r="D72" s="5" t="n"/>
      <c r="E72" s="6" t="n"/>
      <c r="F72" s="5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>
        <f>IF(B72="","",IF(E72="","?",IF(E72&lt;=1250000,"J","N")))</f>
        <v/>
      </c>
      <c r="Q72" s="7">
        <f>IF(B72="","",IF(F72="","?",IF(AND(F72&gt;=90,F72&lt;=115),"J","N")))</f>
        <v/>
      </c>
      <c r="R72" s="7">
        <f>IF(B72="","",IF(OR(D72="Etagenwohnung",G72="N"),0,ROUND(100*(3*IF(H72="J",1,IF(H72="N",0,0.5))+3*IF(I72="J",1,IF(I72="N",0,0.5))+2*IF(J72="J",1,IF(J72="N",0,0.5))+2*IF(K72="J",1,IF(K72="N",0,0.5))+1*IF(L72="J",1,IF(L72="N",0,0.5))+1*IF(M72="J",1,IF(M72="N",0,0.5))+1*IF(N72="J",1,IF(N72="N",0,0.5))+1*IF(O72="J",1,IF(O72="N",0,0.5))+2*IF(P72="J",1,IF(P72="N",0,0.5))+3*IF(Q72="J",1,IF(Q72="N",0,0.5)))/19,0)))</f>
        <v/>
      </c>
      <c r="S72" s="7" t="n"/>
      <c r="T72" s="5" t="n"/>
    </row>
    <row r="73">
      <c r="A73" s="5" t="n"/>
      <c r="B73" s="5" t="n"/>
      <c r="C73" s="5" t="n"/>
      <c r="D73" s="5" t="n"/>
      <c r="E73" s="6" t="n"/>
      <c r="F73" s="5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>
        <f>IF(B73="","",IF(E73="","?",IF(E73&lt;=1250000,"J","N")))</f>
        <v/>
      </c>
      <c r="Q73" s="7">
        <f>IF(B73="","",IF(F73="","?",IF(AND(F73&gt;=90,F73&lt;=115),"J","N")))</f>
        <v/>
      </c>
      <c r="R73" s="7">
        <f>IF(B73="","",IF(OR(D73="Etagenwohnung",G73="N"),0,ROUND(100*(3*IF(H73="J",1,IF(H73="N",0,0.5))+3*IF(I73="J",1,IF(I73="N",0,0.5))+2*IF(J73="J",1,IF(J73="N",0,0.5))+2*IF(K73="J",1,IF(K73="N",0,0.5))+1*IF(L73="J",1,IF(L73="N",0,0.5))+1*IF(M73="J",1,IF(M73="N",0,0.5))+1*IF(N73="J",1,IF(N73="N",0,0.5))+1*IF(O73="J",1,IF(O73="N",0,0.5))+2*IF(P73="J",1,IF(P73="N",0,0.5))+3*IF(Q73="J",1,IF(Q73="N",0,0.5)))/19,0)))</f>
        <v/>
      </c>
      <c r="S73" s="7" t="n"/>
      <c r="T73" s="5" t="n"/>
    </row>
    <row r="74">
      <c r="A74" s="5" t="n"/>
      <c r="B74" s="5" t="n"/>
      <c r="C74" s="5" t="n"/>
      <c r="D74" s="5" t="n"/>
      <c r="E74" s="6" t="n"/>
      <c r="F74" s="5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>
        <f>IF(B74="","",IF(E74="","?",IF(E74&lt;=1250000,"J","N")))</f>
        <v/>
      </c>
      <c r="Q74" s="7">
        <f>IF(B74="","",IF(F74="","?",IF(AND(F74&gt;=90,F74&lt;=115),"J","N")))</f>
        <v/>
      </c>
      <c r="R74" s="7">
        <f>IF(B74="","",IF(OR(D74="Etagenwohnung",G74="N"),0,ROUND(100*(3*IF(H74="J",1,IF(H74="N",0,0.5))+3*IF(I74="J",1,IF(I74="N",0,0.5))+2*IF(J74="J",1,IF(J74="N",0,0.5))+2*IF(K74="J",1,IF(K74="N",0,0.5))+1*IF(L74="J",1,IF(L74="N",0,0.5))+1*IF(M74="J",1,IF(M74="N",0,0.5))+1*IF(N74="J",1,IF(N74="N",0,0.5))+1*IF(O74="J",1,IF(O74="N",0,0.5))+2*IF(P74="J",1,IF(P74="N",0,0.5))+3*IF(Q74="J",1,IF(Q74="N",0,0.5)))/19,0)))</f>
        <v/>
      </c>
      <c r="S74" s="7" t="n"/>
      <c r="T74" s="5" t="n"/>
    </row>
    <row r="75">
      <c r="A75" s="5" t="n"/>
      <c r="B75" s="5" t="n"/>
      <c r="C75" s="5" t="n"/>
      <c r="D75" s="5" t="n"/>
      <c r="E75" s="6" t="n"/>
      <c r="F75" s="5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>
        <f>IF(B75="","",IF(E75="","?",IF(E75&lt;=1250000,"J","N")))</f>
        <v/>
      </c>
      <c r="Q75" s="7">
        <f>IF(B75="","",IF(F75="","?",IF(AND(F75&gt;=90,F75&lt;=115),"J","N")))</f>
        <v/>
      </c>
      <c r="R75" s="7">
        <f>IF(B75="","",IF(OR(D75="Etagenwohnung",G75="N"),0,ROUND(100*(3*IF(H75="J",1,IF(H75="N",0,0.5))+3*IF(I75="J",1,IF(I75="N",0,0.5))+2*IF(J75="J",1,IF(J75="N",0,0.5))+2*IF(K75="J",1,IF(K75="N",0,0.5))+1*IF(L75="J",1,IF(L75="N",0,0.5))+1*IF(M75="J",1,IF(M75="N",0,0.5))+1*IF(N75="J",1,IF(N75="N",0,0.5))+1*IF(O75="J",1,IF(O75="N",0,0.5))+2*IF(P75="J",1,IF(P75="N",0,0.5))+3*IF(Q75="J",1,IF(Q75="N",0,0.5)))/19,0)))</f>
        <v/>
      </c>
      <c r="S75" s="7" t="n"/>
      <c r="T75" s="5" t="n"/>
    </row>
    <row r="76">
      <c r="A76" s="5" t="n"/>
      <c r="B76" s="5" t="n"/>
      <c r="C76" s="5" t="n"/>
      <c r="D76" s="5" t="n"/>
      <c r="E76" s="6" t="n"/>
      <c r="F76" s="5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>
        <f>IF(B76="","",IF(E76="","?",IF(E76&lt;=1250000,"J","N")))</f>
        <v/>
      </c>
      <c r="Q76" s="7">
        <f>IF(B76="","",IF(F76="","?",IF(AND(F76&gt;=90,F76&lt;=115),"J","N")))</f>
        <v/>
      </c>
      <c r="R76" s="7">
        <f>IF(B76="","",IF(OR(D76="Etagenwohnung",G76="N"),0,ROUND(100*(3*IF(H76="J",1,IF(H76="N",0,0.5))+3*IF(I76="J",1,IF(I76="N",0,0.5))+2*IF(J76="J",1,IF(J76="N",0,0.5))+2*IF(K76="J",1,IF(K76="N",0,0.5))+1*IF(L76="J",1,IF(L76="N",0,0.5))+1*IF(M76="J",1,IF(M76="N",0,0.5))+1*IF(N76="J",1,IF(N76="N",0,0.5))+1*IF(O76="J",1,IF(O76="N",0,0.5))+2*IF(P76="J",1,IF(P76="N",0,0.5))+3*IF(Q76="J",1,IF(Q76="N",0,0.5)))/19,0)))</f>
        <v/>
      </c>
      <c r="S76" s="7" t="n"/>
      <c r="T76" s="5" t="n"/>
    </row>
    <row r="77">
      <c r="A77" s="5" t="n"/>
      <c r="B77" s="5" t="n"/>
      <c r="C77" s="5" t="n"/>
      <c r="D77" s="5" t="n"/>
      <c r="E77" s="6" t="n"/>
      <c r="F77" s="5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>
        <f>IF(B77="","",IF(E77="","?",IF(E77&lt;=1250000,"J","N")))</f>
        <v/>
      </c>
      <c r="Q77" s="7">
        <f>IF(B77="","",IF(F77="","?",IF(AND(F77&gt;=90,F77&lt;=115),"J","N")))</f>
        <v/>
      </c>
      <c r="R77" s="7">
        <f>IF(B77="","",IF(OR(D77="Etagenwohnung",G77="N"),0,ROUND(100*(3*IF(H77="J",1,IF(H77="N",0,0.5))+3*IF(I77="J",1,IF(I77="N",0,0.5))+2*IF(J77="J",1,IF(J77="N",0,0.5))+2*IF(K77="J",1,IF(K77="N",0,0.5))+1*IF(L77="J",1,IF(L77="N",0,0.5))+1*IF(M77="J",1,IF(M77="N",0,0.5))+1*IF(N77="J",1,IF(N77="N",0,0.5))+1*IF(O77="J",1,IF(O77="N",0,0.5))+2*IF(P77="J",1,IF(P77="N",0,0.5))+3*IF(Q77="J",1,IF(Q77="N",0,0.5)))/19,0)))</f>
        <v/>
      </c>
      <c r="S77" s="7" t="n"/>
      <c r="T77" s="5" t="n"/>
    </row>
    <row r="78">
      <c r="A78" s="5" t="n"/>
      <c r="B78" s="5" t="n"/>
      <c r="C78" s="5" t="n"/>
      <c r="D78" s="5" t="n"/>
      <c r="E78" s="6" t="n"/>
      <c r="F78" s="5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>
        <f>IF(B78="","",IF(E78="","?",IF(E78&lt;=1250000,"J","N")))</f>
        <v/>
      </c>
      <c r="Q78" s="7">
        <f>IF(B78="","",IF(F78="","?",IF(AND(F78&gt;=90,F78&lt;=115),"J","N")))</f>
        <v/>
      </c>
      <c r="R78" s="7">
        <f>IF(B78="","",IF(OR(D78="Etagenwohnung",G78="N"),0,ROUND(100*(3*IF(H78="J",1,IF(H78="N",0,0.5))+3*IF(I78="J",1,IF(I78="N",0,0.5))+2*IF(J78="J",1,IF(J78="N",0,0.5))+2*IF(K78="J",1,IF(K78="N",0,0.5))+1*IF(L78="J",1,IF(L78="N",0,0.5))+1*IF(M78="J",1,IF(M78="N",0,0.5))+1*IF(N78="J",1,IF(N78="N",0,0.5))+1*IF(O78="J",1,IF(O78="N",0,0.5))+2*IF(P78="J",1,IF(P78="N",0,0.5))+3*IF(Q78="J",1,IF(Q78="N",0,0.5)))/19,0)))</f>
        <v/>
      </c>
      <c r="S78" s="7" t="n"/>
      <c r="T78" s="5" t="n"/>
    </row>
    <row r="79">
      <c r="A79" s="5" t="n"/>
      <c r="B79" s="5" t="n"/>
      <c r="C79" s="5" t="n"/>
      <c r="D79" s="5" t="n"/>
      <c r="E79" s="6" t="n"/>
      <c r="F79" s="5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>
        <f>IF(B79="","",IF(E79="","?",IF(E79&lt;=1250000,"J","N")))</f>
        <v/>
      </c>
      <c r="Q79" s="7">
        <f>IF(B79="","",IF(F79="","?",IF(AND(F79&gt;=90,F79&lt;=115),"J","N")))</f>
        <v/>
      </c>
      <c r="R79" s="7">
        <f>IF(B79="","",IF(OR(D79="Etagenwohnung",G79="N"),0,ROUND(100*(3*IF(H79="J",1,IF(H79="N",0,0.5))+3*IF(I79="J",1,IF(I79="N",0,0.5))+2*IF(J79="J",1,IF(J79="N",0,0.5))+2*IF(K79="J",1,IF(K79="N",0,0.5))+1*IF(L79="J",1,IF(L79="N",0,0.5))+1*IF(M79="J",1,IF(M79="N",0,0.5))+1*IF(N79="J",1,IF(N79="N",0,0.5))+1*IF(O79="J",1,IF(O79="N",0,0.5))+2*IF(P79="J",1,IF(P79="N",0,0.5))+3*IF(Q79="J",1,IF(Q79="N",0,0.5)))/19,0)))</f>
        <v/>
      </c>
      <c r="S79" s="7" t="n"/>
      <c r="T79" s="5" t="n"/>
    </row>
    <row r="80">
      <c r="A80" s="5" t="n"/>
      <c r="B80" s="5" t="n"/>
      <c r="C80" s="5" t="n"/>
      <c r="D80" s="5" t="n"/>
      <c r="E80" s="6" t="n"/>
      <c r="F80" s="5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>
        <f>IF(B80="","",IF(E80="","?",IF(E80&lt;=1250000,"J","N")))</f>
        <v/>
      </c>
      <c r="Q80" s="7">
        <f>IF(B80="","",IF(F80="","?",IF(AND(F80&gt;=90,F80&lt;=115),"J","N")))</f>
        <v/>
      </c>
      <c r="R80" s="7">
        <f>IF(B80="","",IF(OR(D80="Etagenwohnung",G80="N"),0,ROUND(100*(3*IF(H80="J",1,IF(H80="N",0,0.5))+3*IF(I80="J",1,IF(I80="N",0,0.5))+2*IF(J80="J",1,IF(J80="N",0,0.5))+2*IF(K80="J",1,IF(K80="N",0,0.5))+1*IF(L80="J",1,IF(L80="N",0,0.5))+1*IF(M80="J",1,IF(M80="N",0,0.5))+1*IF(N80="J",1,IF(N80="N",0,0.5))+1*IF(O80="J",1,IF(O80="N",0,0.5))+2*IF(P80="J",1,IF(P80="N",0,0.5))+3*IF(Q80="J",1,IF(Q80="N",0,0.5)))/19,0)))</f>
        <v/>
      </c>
      <c r="S80" s="7" t="n"/>
      <c r="T80" s="5" t="n"/>
    </row>
    <row r="81">
      <c r="A81" s="5" t="n"/>
      <c r="B81" s="5" t="n"/>
      <c r="C81" s="5" t="n"/>
      <c r="D81" s="5" t="n"/>
      <c r="E81" s="6" t="n"/>
      <c r="F81" s="5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>
        <f>IF(B81="","",IF(E81="","?",IF(E81&lt;=1250000,"J","N")))</f>
        <v/>
      </c>
      <c r="Q81" s="7">
        <f>IF(B81="","",IF(F81="","?",IF(AND(F81&gt;=90,F81&lt;=115),"J","N")))</f>
        <v/>
      </c>
      <c r="R81" s="7">
        <f>IF(B81="","",IF(OR(D81="Etagenwohnung",G81="N"),0,ROUND(100*(3*IF(H81="J",1,IF(H81="N",0,0.5))+3*IF(I81="J",1,IF(I81="N",0,0.5))+2*IF(J81="J",1,IF(J81="N",0,0.5))+2*IF(K81="J",1,IF(K81="N",0,0.5))+1*IF(L81="J",1,IF(L81="N",0,0.5))+1*IF(M81="J",1,IF(M81="N",0,0.5))+1*IF(N81="J",1,IF(N81="N",0,0.5))+1*IF(O81="J",1,IF(O81="N",0,0.5))+2*IF(P81="J",1,IF(P81="N",0,0.5))+3*IF(Q81="J",1,IF(Q81="N",0,0.5)))/19,0)))</f>
        <v/>
      </c>
      <c r="S81" s="7" t="n"/>
      <c r="T81" s="5" t="n"/>
    </row>
    <row r="82">
      <c r="A82" s="5" t="n"/>
      <c r="B82" s="5" t="n"/>
      <c r="C82" s="5" t="n"/>
      <c r="D82" s="5" t="n"/>
      <c r="E82" s="6" t="n"/>
      <c r="F82" s="5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>
        <f>IF(B82="","",IF(E82="","?",IF(E82&lt;=1250000,"J","N")))</f>
        <v/>
      </c>
      <c r="Q82" s="7">
        <f>IF(B82="","",IF(F82="","?",IF(AND(F82&gt;=90,F82&lt;=115),"J","N")))</f>
        <v/>
      </c>
      <c r="R82" s="7">
        <f>IF(B82="","",IF(OR(D82="Etagenwohnung",G82="N"),0,ROUND(100*(3*IF(H82="J",1,IF(H82="N",0,0.5))+3*IF(I82="J",1,IF(I82="N",0,0.5))+2*IF(J82="J",1,IF(J82="N",0,0.5))+2*IF(K82="J",1,IF(K82="N",0,0.5))+1*IF(L82="J",1,IF(L82="N",0,0.5))+1*IF(M82="J",1,IF(M82="N",0,0.5))+1*IF(N82="J",1,IF(N82="N",0,0.5))+1*IF(O82="J",1,IF(O82="N",0,0.5))+2*IF(P82="J",1,IF(P82="N",0,0.5))+3*IF(Q82="J",1,IF(Q82="N",0,0.5)))/19,0)))</f>
        <v/>
      </c>
      <c r="S82" s="7" t="n"/>
      <c r="T82" s="5" t="n"/>
    </row>
    <row r="83">
      <c r="A83" s="5" t="n"/>
      <c r="B83" s="5" t="n"/>
      <c r="C83" s="5" t="n"/>
      <c r="D83" s="5" t="n"/>
      <c r="E83" s="6" t="n"/>
      <c r="F83" s="5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>
        <f>IF(B83="","",IF(E83="","?",IF(E83&lt;=1250000,"J","N")))</f>
        <v/>
      </c>
      <c r="Q83" s="7">
        <f>IF(B83="","",IF(F83="","?",IF(AND(F83&gt;=90,F83&lt;=115),"J","N")))</f>
        <v/>
      </c>
      <c r="R83" s="7">
        <f>IF(B83="","",IF(OR(D83="Etagenwohnung",G83="N"),0,ROUND(100*(3*IF(H83="J",1,IF(H83="N",0,0.5))+3*IF(I83="J",1,IF(I83="N",0,0.5))+2*IF(J83="J",1,IF(J83="N",0,0.5))+2*IF(K83="J",1,IF(K83="N",0,0.5))+1*IF(L83="J",1,IF(L83="N",0,0.5))+1*IF(M83="J",1,IF(M83="N",0,0.5))+1*IF(N83="J",1,IF(N83="N",0,0.5))+1*IF(O83="J",1,IF(O83="N",0,0.5))+2*IF(P83="J",1,IF(P83="N",0,0.5))+3*IF(Q83="J",1,IF(Q83="N",0,0.5)))/19,0)))</f>
        <v/>
      </c>
      <c r="S83" s="7" t="n"/>
      <c r="T83" s="5" t="n"/>
    </row>
    <row r="84">
      <c r="A84" s="5" t="n"/>
      <c r="B84" s="5" t="n"/>
      <c r="C84" s="5" t="n"/>
      <c r="D84" s="5" t="n"/>
      <c r="E84" s="6" t="n"/>
      <c r="F84" s="5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>
        <f>IF(B84="","",IF(E84="","?",IF(E84&lt;=1250000,"J","N")))</f>
        <v/>
      </c>
      <c r="Q84" s="7">
        <f>IF(B84="","",IF(F84="","?",IF(AND(F84&gt;=90,F84&lt;=115),"J","N")))</f>
        <v/>
      </c>
      <c r="R84" s="7">
        <f>IF(B84="","",IF(OR(D84="Etagenwohnung",G84="N"),0,ROUND(100*(3*IF(H84="J",1,IF(H84="N",0,0.5))+3*IF(I84="J",1,IF(I84="N",0,0.5))+2*IF(J84="J",1,IF(J84="N",0,0.5))+2*IF(K84="J",1,IF(K84="N",0,0.5))+1*IF(L84="J",1,IF(L84="N",0,0.5))+1*IF(M84="J",1,IF(M84="N",0,0.5))+1*IF(N84="J",1,IF(N84="N",0,0.5))+1*IF(O84="J",1,IF(O84="N",0,0.5))+2*IF(P84="J",1,IF(P84="N",0,0.5))+3*IF(Q84="J",1,IF(Q84="N",0,0.5)))/19,0)))</f>
        <v/>
      </c>
      <c r="S84" s="7" t="n"/>
      <c r="T84" s="5" t="n"/>
    </row>
    <row r="85">
      <c r="A85" s="5" t="n"/>
      <c r="B85" s="5" t="n"/>
      <c r="C85" s="5" t="n"/>
      <c r="D85" s="5" t="n"/>
      <c r="E85" s="6" t="n"/>
      <c r="F85" s="5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>
        <f>IF(B85="","",IF(E85="","?",IF(E85&lt;=1250000,"J","N")))</f>
        <v/>
      </c>
      <c r="Q85" s="7">
        <f>IF(B85="","",IF(F85="","?",IF(AND(F85&gt;=90,F85&lt;=115),"J","N")))</f>
        <v/>
      </c>
      <c r="R85" s="7">
        <f>IF(B85="","",IF(OR(D85="Etagenwohnung",G85="N"),0,ROUND(100*(3*IF(H85="J",1,IF(H85="N",0,0.5))+3*IF(I85="J",1,IF(I85="N",0,0.5))+2*IF(J85="J",1,IF(J85="N",0,0.5))+2*IF(K85="J",1,IF(K85="N",0,0.5))+1*IF(L85="J",1,IF(L85="N",0,0.5))+1*IF(M85="J",1,IF(M85="N",0,0.5))+1*IF(N85="J",1,IF(N85="N",0,0.5))+1*IF(O85="J",1,IF(O85="N",0,0.5))+2*IF(P85="J",1,IF(P85="N",0,0.5))+3*IF(Q85="J",1,IF(Q85="N",0,0.5)))/19,0)))</f>
        <v/>
      </c>
      <c r="S85" s="7" t="n"/>
      <c r="T85" s="5" t="n"/>
    </row>
    <row r="86">
      <c r="A86" s="5" t="n"/>
      <c r="B86" s="5" t="n"/>
      <c r="C86" s="5" t="n"/>
      <c r="D86" s="5" t="n"/>
      <c r="E86" s="6" t="n"/>
      <c r="F86" s="5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>
        <f>IF(B86="","",IF(E86="","?",IF(E86&lt;=1250000,"J","N")))</f>
        <v/>
      </c>
      <c r="Q86" s="7">
        <f>IF(B86="","",IF(F86="","?",IF(AND(F86&gt;=90,F86&lt;=115),"J","N")))</f>
        <v/>
      </c>
      <c r="R86" s="7">
        <f>IF(B86="","",IF(OR(D86="Etagenwohnung",G86="N"),0,ROUND(100*(3*IF(H86="J",1,IF(H86="N",0,0.5))+3*IF(I86="J",1,IF(I86="N",0,0.5))+2*IF(J86="J",1,IF(J86="N",0,0.5))+2*IF(K86="J",1,IF(K86="N",0,0.5))+1*IF(L86="J",1,IF(L86="N",0,0.5))+1*IF(M86="J",1,IF(M86="N",0,0.5))+1*IF(N86="J",1,IF(N86="N",0,0.5))+1*IF(O86="J",1,IF(O86="N",0,0.5))+2*IF(P86="J",1,IF(P86="N",0,0.5))+3*IF(Q86="J",1,IF(Q86="N",0,0.5)))/19,0)))</f>
        <v/>
      </c>
      <c r="S86" s="7" t="n"/>
      <c r="T86" s="5" t="n"/>
    </row>
    <row r="87">
      <c r="A87" s="5" t="n"/>
      <c r="B87" s="5" t="n"/>
      <c r="C87" s="5" t="n"/>
      <c r="D87" s="5" t="n"/>
      <c r="E87" s="6" t="n"/>
      <c r="F87" s="5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>
        <f>IF(B87="","",IF(E87="","?",IF(E87&lt;=1250000,"J","N")))</f>
        <v/>
      </c>
      <c r="Q87" s="7">
        <f>IF(B87="","",IF(F87="","?",IF(AND(F87&gt;=90,F87&lt;=115),"J","N")))</f>
        <v/>
      </c>
      <c r="R87" s="7">
        <f>IF(B87="","",IF(OR(D87="Etagenwohnung",G87="N"),0,ROUND(100*(3*IF(H87="J",1,IF(H87="N",0,0.5))+3*IF(I87="J",1,IF(I87="N",0,0.5))+2*IF(J87="J",1,IF(J87="N",0,0.5))+2*IF(K87="J",1,IF(K87="N",0,0.5))+1*IF(L87="J",1,IF(L87="N",0,0.5))+1*IF(M87="J",1,IF(M87="N",0,0.5))+1*IF(N87="J",1,IF(N87="N",0,0.5))+1*IF(O87="J",1,IF(O87="N",0,0.5))+2*IF(P87="J",1,IF(P87="N",0,0.5))+3*IF(Q87="J",1,IF(Q87="N",0,0.5)))/19,0)))</f>
        <v/>
      </c>
      <c r="S87" s="7" t="n"/>
      <c r="T87" s="5" t="n"/>
    </row>
    <row r="88">
      <c r="A88" s="5" t="n"/>
      <c r="B88" s="5" t="n"/>
      <c r="C88" s="5" t="n"/>
      <c r="D88" s="5" t="n"/>
      <c r="E88" s="6" t="n"/>
      <c r="F88" s="5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>
        <f>IF(B88="","",IF(E88="","?",IF(E88&lt;=1250000,"J","N")))</f>
        <v/>
      </c>
      <c r="Q88" s="7">
        <f>IF(B88="","",IF(F88="","?",IF(AND(F88&gt;=90,F88&lt;=115),"J","N")))</f>
        <v/>
      </c>
      <c r="R88" s="7">
        <f>IF(B88="","",IF(OR(D88="Etagenwohnung",G88="N"),0,ROUND(100*(3*IF(H88="J",1,IF(H88="N",0,0.5))+3*IF(I88="J",1,IF(I88="N",0,0.5))+2*IF(J88="J",1,IF(J88="N",0,0.5))+2*IF(K88="J",1,IF(K88="N",0,0.5))+1*IF(L88="J",1,IF(L88="N",0,0.5))+1*IF(M88="J",1,IF(M88="N",0,0.5))+1*IF(N88="J",1,IF(N88="N",0,0.5))+1*IF(O88="J",1,IF(O88="N",0,0.5))+2*IF(P88="J",1,IF(P88="N",0,0.5))+3*IF(Q88="J",1,IF(Q88="N",0,0.5)))/19,0)))</f>
        <v/>
      </c>
      <c r="S88" s="7" t="n"/>
      <c r="T88" s="5" t="n"/>
    </row>
    <row r="89">
      <c r="A89" s="5" t="n"/>
      <c r="B89" s="5" t="n"/>
      <c r="C89" s="5" t="n"/>
      <c r="D89" s="5" t="n"/>
      <c r="E89" s="6" t="n"/>
      <c r="F89" s="5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>
        <f>IF(B89="","",IF(E89="","?",IF(E89&lt;=1250000,"J","N")))</f>
        <v/>
      </c>
      <c r="Q89" s="7">
        <f>IF(B89="","",IF(F89="","?",IF(AND(F89&gt;=90,F89&lt;=115),"J","N")))</f>
        <v/>
      </c>
      <c r="R89" s="7">
        <f>IF(B89="","",IF(OR(D89="Etagenwohnung",G89="N"),0,ROUND(100*(3*IF(H89="J",1,IF(H89="N",0,0.5))+3*IF(I89="J",1,IF(I89="N",0,0.5))+2*IF(J89="J",1,IF(J89="N",0,0.5))+2*IF(K89="J",1,IF(K89="N",0,0.5))+1*IF(L89="J",1,IF(L89="N",0,0.5))+1*IF(M89="J",1,IF(M89="N",0,0.5))+1*IF(N89="J",1,IF(N89="N",0,0.5))+1*IF(O89="J",1,IF(O89="N",0,0.5))+2*IF(P89="J",1,IF(P89="N",0,0.5))+3*IF(Q89="J",1,IF(Q89="N",0,0.5)))/19,0)))</f>
        <v/>
      </c>
      <c r="S89" s="7" t="n"/>
      <c r="T89" s="5" t="n"/>
    </row>
    <row r="90">
      <c r="A90" s="5" t="n"/>
      <c r="B90" s="5" t="n"/>
      <c r="C90" s="5" t="n"/>
      <c r="D90" s="5" t="n"/>
      <c r="E90" s="6" t="n"/>
      <c r="F90" s="5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>
        <f>IF(B90="","",IF(E90="","?",IF(E90&lt;=1250000,"J","N")))</f>
        <v/>
      </c>
      <c r="Q90" s="7">
        <f>IF(B90="","",IF(F90="","?",IF(AND(F90&gt;=90,F90&lt;=115),"J","N")))</f>
        <v/>
      </c>
      <c r="R90" s="7">
        <f>IF(B90="","",IF(OR(D90="Etagenwohnung",G90="N"),0,ROUND(100*(3*IF(H90="J",1,IF(H90="N",0,0.5))+3*IF(I90="J",1,IF(I90="N",0,0.5))+2*IF(J90="J",1,IF(J90="N",0,0.5))+2*IF(K90="J",1,IF(K90="N",0,0.5))+1*IF(L90="J",1,IF(L90="N",0,0.5))+1*IF(M90="J",1,IF(M90="N",0,0.5))+1*IF(N90="J",1,IF(N90="N",0,0.5))+1*IF(O90="J",1,IF(O90="N",0,0.5))+2*IF(P90="J",1,IF(P90="N",0,0.5))+3*IF(Q90="J",1,IF(Q90="N",0,0.5)))/19,0)))</f>
        <v/>
      </c>
      <c r="S90" s="7" t="n"/>
      <c r="T90" s="5" t="n"/>
    </row>
    <row r="91">
      <c r="A91" s="5" t="n"/>
      <c r="B91" s="5" t="n"/>
      <c r="C91" s="5" t="n"/>
      <c r="D91" s="5" t="n"/>
      <c r="E91" s="6" t="n"/>
      <c r="F91" s="5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>
        <f>IF(B91="","",IF(E91="","?",IF(E91&lt;=1250000,"J","N")))</f>
        <v/>
      </c>
      <c r="Q91" s="7">
        <f>IF(B91="","",IF(F91="","?",IF(AND(F91&gt;=90,F91&lt;=115),"J","N")))</f>
        <v/>
      </c>
      <c r="R91" s="7">
        <f>IF(B91="","",IF(OR(D91="Etagenwohnung",G91="N"),0,ROUND(100*(3*IF(H91="J",1,IF(H91="N",0,0.5))+3*IF(I91="J",1,IF(I91="N",0,0.5))+2*IF(J91="J",1,IF(J91="N",0,0.5))+2*IF(K91="J",1,IF(K91="N",0,0.5))+1*IF(L91="J",1,IF(L91="N",0,0.5))+1*IF(M91="J",1,IF(M91="N",0,0.5))+1*IF(N91="J",1,IF(N91="N",0,0.5))+1*IF(O91="J",1,IF(O91="N",0,0.5))+2*IF(P91="J",1,IF(P91="N",0,0.5))+3*IF(Q91="J",1,IF(Q91="N",0,0.5)))/19,0)))</f>
        <v/>
      </c>
      <c r="S91" s="7" t="n"/>
      <c r="T91" s="5" t="n"/>
    </row>
    <row r="92">
      <c r="A92" s="5" t="n"/>
      <c r="B92" s="5" t="n"/>
      <c r="C92" s="5" t="n"/>
      <c r="D92" s="5" t="n"/>
      <c r="E92" s="6" t="n"/>
      <c r="F92" s="5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>
        <f>IF(B92="","",IF(E92="","?",IF(E92&lt;=1250000,"J","N")))</f>
        <v/>
      </c>
      <c r="Q92" s="7">
        <f>IF(B92="","",IF(F92="","?",IF(AND(F92&gt;=90,F92&lt;=115),"J","N")))</f>
        <v/>
      </c>
      <c r="R92" s="7">
        <f>IF(B92="","",IF(OR(D92="Etagenwohnung",G92="N"),0,ROUND(100*(3*IF(H92="J",1,IF(H92="N",0,0.5))+3*IF(I92="J",1,IF(I92="N",0,0.5))+2*IF(J92="J",1,IF(J92="N",0,0.5))+2*IF(K92="J",1,IF(K92="N",0,0.5))+1*IF(L92="J",1,IF(L92="N",0,0.5))+1*IF(M92="J",1,IF(M92="N",0,0.5))+1*IF(N92="J",1,IF(N92="N",0,0.5))+1*IF(O92="J",1,IF(O92="N",0,0.5))+2*IF(P92="J",1,IF(P92="N",0,0.5))+3*IF(Q92="J",1,IF(Q92="N",0,0.5)))/19,0)))</f>
        <v/>
      </c>
      <c r="S92" s="7" t="n"/>
      <c r="T92" s="5" t="n"/>
    </row>
    <row r="93">
      <c r="A93" s="5" t="n"/>
      <c r="B93" s="5" t="n"/>
      <c r="C93" s="5" t="n"/>
      <c r="D93" s="5" t="n"/>
      <c r="E93" s="6" t="n"/>
      <c r="F93" s="5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>
        <f>IF(B93="","",IF(E93="","?",IF(E93&lt;=1250000,"J","N")))</f>
        <v/>
      </c>
      <c r="Q93" s="7">
        <f>IF(B93="","",IF(F93="","?",IF(AND(F93&gt;=90,F93&lt;=115),"J","N")))</f>
        <v/>
      </c>
      <c r="R93" s="7">
        <f>IF(B93="","",IF(OR(D93="Etagenwohnung",G93="N"),0,ROUND(100*(3*IF(H93="J",1,IF(H93="N",0,0.5))+3*IF(I93="J",1,IF(I93="N",0,0.5))+2*IF(J93="J",1,IF(J93="N",0,0.5))+2*IF(K93="J",1,IF(K93="N",0,0.5))+1*IF(L93="J",1,IF(L93="N",0,0.5))+1*IF(M93="J",1,IF(M93="N",0,0.5))+1*IF(N93="J",1,IF(N93="N",0,0.5))+1*IF(O93="J",1,IF(O93="N",0,0.5))+2*IF(P93="J",1,IF(P93="N",0,0.5))+3*IF(Q93="J",1,IF(Q93="N",0,0.5)))/19,0)))</f>
        <v/>
      </c>
      <c r="S93" s="7" t="n"/>
      <c r="T93" s="5" t="n"/>
    </row>
    <row r="94">
      <c r="A94" s="5" t="n"/>
      <c r="B94" s="5" t="n"/>
      <c r="C94" s="5" t="n"/>
      <c r="D94" s="5" t="n"/>
      <c r="E94" s="6" t="n"/>
      <c r="F94" s="5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>
        <f>IF(B94="","",IF(E94="","?",IF(E94&lt;=1250000,"J","N")))</f>
        <v/>
      </c>
      <c r="Q94" s="7">
        <f>IF(B94="","",IF(F94="","?",IF(AND(F94&gt;=90,F94&lt;=115),"J","N")))</f>
        <v/>
      </c>
      <c r="R94" s="7">
        <f>IF(B94="","",IF(OR(D94="Etagenwohnung",G94="N"),0,ROUND(100*(3*IF(H94="J",1,IF(H94="N",0,0.5))+3*IF(I94="J",1,IF(I94="N",0,0.5))+2*IF(J94="J",1,IF(J94="N",0,0.5))+2*IF(K94="J",1,IF(K94="N",0,0.5))+1*IF(L94="J",1,IF(L94="N",0,0.5))+1*IF(M94="J",1,IF(M94="N",0,0.5))+1*IF(N94="J",1,IF(N94="N",0,0.5))+1*IF(O94="J",1,IF(O94="N",0,0.5))+2*IF(P94="J",1,IF(P94="N",0,0.5))+3*IF(Q94="J",1,IF(Q94="N",0,0.5)))/19,0)))</f>
        <v/>
      </c>
      <c r="S94" s="7" t="n"/>
      <c r="T94" s="5" t="n"/>
    </row>
    <row r="95">
      <c r="A95" s="5" t="n"/>
      <c r="B95" s="5" t="n"/>
      <c r="C95" s="5" t="n"/>
      <c r="D95" s="5" t="n"/>
      <c r="E95" s="6" t="n"/>
      <c r="F95" s="5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>
        <f>IF(B95="","",IF(E95="","?",IF(E95&lt;=1250000,"J","N")))</f>
        <v/>
      </c>
      <c r="Q95" s="7">
        <f>IF(B95="","",IF(F95="","?",IF(AND(F95&gt;=90,F95&lt;=115),"J","N")))</f>
        <v/>
      </c>
      <c r="R95" s="7">
        <f>IF(B95="","",IF(OR(D95="Etagenwohnung",G95="N"),0,ROUND(100*(3*IF(H95="J",1,IF(H95="N",0,0.5))+3*IF(I95="J",1,IF(I95="N",0,0.5))+2*IF(J95="J",1,IF(J95="N",0,0.5))+2*IF(K95="J",1,IF(K95="N",0,0.5))+1*IF(L95="J",1,IF(L95="N",0,0.5))+1*IF(M95="J",1,IF(M95="N",0,0.5))+1*IF(N95="J",1,IF(N95="N",0,0.5))+1*IF(O95="J",1,IF(O95="N",0,0.5))+2*IF(P95="J",1,IF(P95="N",0,0.5))+3*IF(Q95="J",1,IF(Q95="N",0,0.5)))/19,0)))</f>
        <v/>
      </c>
      <c r="S95" s="7" t="n"/>
      <c r="T95" s="5" t="n"/>
    </row>
    <row r="96">
      <c r="A96" s="5" t="n"/>
      <c r="B96" s="5" t="n"/>
      <c r="C96" s="5" t="n"/>
      <c r="D96" s="5" t="n"/>
      <c r="E96" s="6" t="n"/>
      <c r="F96" s="5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>
        <f>IF(B96="","",IF(E96="","?",IF(E96&lt;=1250000,"J","N")))</f>
        <v/>
      </c>
      <c r="Q96" s="7">
        <f>IF(B96="","",IF(F96="","?",IF(AND(F96&gt;=90,F96&lt;=115),"J","N")))</f>
        <v/>
      </c>
      <c r="R96" s="7">
        <f>IF(B96="","",IF(OR(D96="Etagenwohnung",G96="N"),0,ROUND(100*(3*IF(H96="J",1,IF(H96="N",0,0.5))+3*IF(I96="J",1,IF(I96="N",0,0.5))+2*IF(J96="J",1,IF(J96="N",0,0.5))+2*IF(K96="J",1,IF(K96="N",0,0.5))+1*IF(L96="J",1,IF(L96="N",0,0.5))+1*IF(M96="J",1,IF(M96="N",0,0.5))+1*IF(N96="J",1,IF(N96="N",0,0.5))+1*IF(O96="J",1,IF(O96="N",0,0.5))+2*IF(P96="J",1,IF(P96="N",0,0.5))+3*IF(Q96="J",1,IF(Q96="N",0,0.5)))/19,0)))</f>
        <v/>
      </c>
      <c r="S96" s="7" t="n"/>
      <c r="T96" s="5" t="n"/>
    </row>
    <row r="97">
      <c r="A97" s="5" t="n"/>
      <c r="B97" s="5" t="n"/>
      <c r="C97" s="5" t="n"/>
      <c r="D97" s="5" t="n"/>
      <c r="E97" s="6" t="n"/>
      <c r="F97" s="5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>
        <f>IF(B97="","",IF(E97="","?",IF(E97&lt;=1250000,"J","N")))</f>
        <v/>
      </c>
      <c r="Q97" s="7">
        <f>IF(B97="","",IF(F97="","?",IF(AND(F97&gt;=90,F97&lt;=115),"J","N")))</f>
        <v/>
      </c>
      <c r="R97" s="7">
        <f>IF(B97="","",IF(OR(D97="Etagenwohnung",G97="N"),0,ROUND(100*(3*IF(H97="J",1,IF(H97="N",0,0.5))+3*IF(I97="J",1,IF(I97="N",0,0.5))+2*IF(J97="J",1,IF(J97="N",0,0.5))+2*IF(K97="J",1,IF(K97="N",0,0.5))+1*IF(L97="J",1,IF(L97="N",0,0.5))+1*IF(M97="J",1,IF(M97="N",0,0.5))+1*IF(N97="J",1,IF(N97="N",0,0.5))+1*IF(O97="J",1,IF(O97="N",0,0.5))+2*IF(P97="J",1,IF(P97="N",0,0.5))+3*IF(Q97="J",1,IF(Q97="N",0,0.5)))/19,0)))</f>
        <v/>
      </c>
      <c r="S97" s="7" t="n"/>
      <c r="T97" s="5" t="n"/>
    </row>
    <row r="98">
      <c r="A98" s="5" t="n"/>
      <c r="B98" s="5" t="n"/>
      <c r="C98" s="5" t="n"/>
      <c r="D98" s="5" t="n"/>
      <c r="E98" s="6" t="n"/>
      <c r="F98" s="5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>
        <f>IF(B98="","",IF(E98="","?",IF(E98&lt;=1250000,"J","N")))</f>
        <v/>
      </c>
      <c r="Q98" s="7">
        <f>IF(B98="","",IF(F98="","?",IF(AND(F98&gt;=90,F98&lt;=115),"J","N")))</f>
        <v/>
      </c>
      <c r="R98" s="7">
        <f>IF(B98="","",IF(OR(D98="Etagenwohnung",G98="N"),0,ROUND(100*(3*IF(H98="J",1,IF(H98="N",0,0.5))+3*IF(I98="J",1,IF(I98="N",0,0.5))+2*IF(J98="J",1,IF(J98="N",0,0.5))+2*IF(K98="J",1,IF(K98="N",0,0.5))+1*IF(L98="J",1,IF(L98="N",0,0.5))+1*IF(M98="J",1,IF(M98="N",0,0.5))+1*IF(N98="J",1,IF(N98="N",0,0.5))+1*IF(O98="J",1,IF(O98="N",0,0.5))+2*IF(P98="J",1,IF(P98="N",0,0.5))+3*IF(Q98="J",1,IF(Q98="N",0,0.5)))/19,0)))</f>
        <v/>
      </c>
      <c r="S98" s="7" t="n"/>
      <c r="T98" s="5" t="n"/>
    </row>
    <row r="99">
      <c r="A99" s="5" t="n"/>
      <c r="B99" s="5" t="n"/>
      <c r="C99" s="5" t="n"/>
      <c r="D99" s="5" t="n"/>
      <c r="E99" s="6" t="n"/>
      <c r="F99" s="5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>
        <f>IF(B99="","",IF(E99="","?",IF(E99&lt;=1250000,"J","N")))</f>
        <v/>
      </c>
      <c r="Q99" s="7">
        <f>IF(B99="","",IF(F99="","?",IF(AND(F99&gt;=90,F99&lt;=115),"J","N")))</f>
        <v/>
      </c>
      <c r="R99" s="7">
        <f>IF(B99="","",IF(OR(D99="Etagenwohnung",G99="N"),0,ROUND(100*(3*IF(H99="J",1,IF(H99="N",0,0.5))+3*IF(I99="J",1,IF(I99="N",0,0.5))+2*IF(J99="J",1,IF(J99="N",0,0.5))+2*IF(K99="J",1,IF(K99="N",0,0.5))+1*IF(L99="J",1,IF(L99="N",0,0.5))+1*IF(M99="J",1,IF(M99="N",0,0.5))+1*IF(N99="J",1,IF(N99="N",0,0.5))+1*IF(O99="J",1,IF(O99="N",0,0.5))+2*IF(P99="J",1,IF(P99="N",0,0.5))+3*IF(Q99="J",1,IF(Q99="N",0,0.5)))/19,0)))</f>
        <v/>
      </c>
      <c r="S99" s="7" t="n"/>
      <c r="T99" s="5" t="n"/>
    </row>
    <row r="100">
      <c r="A100" s="5" t="n"/>
      <c r="B100" s="5" t="n"/>
      <c r="C100" s="5" t="n"/>
      <c r="D100" s="5" t="n"/>
      <c r="E100" s="6" t="n"/>
      <c r="F100" s="5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>
        <f>IF(B100="","",IF(E100="","?",IF(E100&lt;=1250000,"J","N")))</f>
        <v/>
      </c>
      <c r="Q100" s="7">
        <f>IF(B100="","",IF(F100="","?",IF(AND(F100&gt;=90,F100&lt;=115),"J","N")))</f>
        <v/>
      </c>
      <c r="R100" s="7">
        <f>IF(B100="","",IF(OR(D100="Etagenwohnung",G100="N"),0,ROUND(100*(3*IF(H100="J",1,IF(H100="N",0,0.5))+3*IF(I100="J",1,IF(I100="N",0,0.5))+2*IF(J100="J",1,IF(J100="N",0,0.5))+2*IF(K100="J",1,IF(K100="N",0,0.5))+1*IF(L100="J",1,IF(L100="N",0,0.5))+1*IF(M100="J",1,IF(M100="N",0,0.5))+1*IF(N100="J",1,IF(N100="N",0,0.5))+1*IF(O100="J",1,IF(O100="N",0,0.5))+2*IF(P100="J",1,IF(P100="N",0,0.5))+3*IF(Q100="J",1,IF(Q100="N",0,0.5)))/19,0)))</f>
        <v/>
      </c>
      <c r="S100" s="7" t="n"/>
      <c r="T100" s="5" t="n"/>
    </row>
    <row r="101">
      <c r="A101" s="5" t="n"/>
      <c r="B101" s="5" t="n"/>
      <c r="C101" s="5" t="n"/>
      <c r="D101" s="5" t="n"/>
      <c r="E101" s="6" t="n"/>
      <c r="F101" s="5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>
        <f>IF(B101="","",IF(E101="","?",IF(E101&lt;=1250000,"J","N")))</f>
        <v/>
      </c>
      <c r="Q101" s="7">
        <f>IF(B101="","",IF(F101="","?",IF(AND(F101&gt;=90,F101&lt;=115),"J","N")))</f>
        <v/>
      </c>
      <c r="R101" s="7">
        <f>IF(B101="","",IF(OR(D101="Etagenwohnung",G101="N"),0,ROUND(100*(3*IF(H101="J",1,IF(H101="N",0,0.5))+3*IF(I101="J",1,IF(I101="N",0,0.5))+2*IF(J101="J",1,IF(J101="N",0,0.5))+2*IF(K101="J",1,IF(K101="N",0,0.5))+1*IF(L101="J",1,IF(L101="N",0,0.5))+1*IF(M101="J",1,IF(M101="N",0,0.5))+1*IF(N101="J",1,IF(N101="N",0,0.5))+1*IF(O101="J",1,IF(O101="N",0,0.5))+2*IF(P101="J",1,IF(P101="N",0,0.5))+3*IF(Q101="J",1,IF(Q101="N",0,0.5)))/19,0)))</f>
        <v/>
      </c>
      <c r="S101" s="7" t="n"/>
      <c r="T101" s="5" t="n"/>
    </row>
    <row r="102">
      <c r="A102" s="5" t="n"/>
      <c r="B102" s="5" t="n"/>
      <c r="C102" s="5" t="n"/>
      <c r="D102" s="5" t="n"/>
      <c r="E102" s="6" t="n"/>
      <c r="F102" s="5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>
        <f>IF(B102="","",IF(E102="","?",IF(E102&lt;=1250000,"J","N")))</f>
        <v/>
      </c>
      <c r="Q102" s="7">
        <f>IF(B102="","",IF(F102="","?",IF(AND(F102&gt;=90,F102&lt;=115),"J","N")))</f>
        <v/>
      </c>
      <c r="R102" s="7">
        <f>IF(B102="","",IF(OR(D102="Etagenwohnung",G102="N"),0,ROUND(100*(3*IF(H102="J",1,IF(H102="N",0,0.5))+3*IF(I102="J",1,IF(I102="N",0,0.5))+2*IF(J102="J",1,IF(J102="N",0,0.5))+2*IF(K102="J",1,IF(K102="N",0,0.5))+1*IF(L102="J",1,IF(L102="N",0,0.5))+1*IF(M102="J",1,IF(M102="N",0,0.5))+1*IF(N102="J",1,IF(N102="N",0,0.5))+1*IF(O102="J",1,IF(O102="N",0,0.5))+2*IF(P102="J",1,IF(P102="N",0,0.5))+3*IF(Q102="J",1,IF(Q102="N",0,0.5)))/19,0)))</f>
        <v/>
      </c>
      <c r="S102" s="7" t="n"/>
      <c r="T102" s="5" t="n"/>
    </row>
    <row r="103">
      <c r="A103" s="5" t="n"/>
      <c r="B103" s="5" t="n"/>
      <c r="C103" s="5" t="n"/>
      <c r="D103" s="5" t="n"/>
      <c r="E103" s="6" t="n"/>
      <c r="F103" s="5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>
        <f>IF(B103="","",IF(E103="","?",IF(E103&lt;=1250000,"J","N")))</f>
        <v/>
      </c>
      <c r="Q103" s="7">
        <f>IF(B103="","",IF(F103="","?",IF(AND(F103&gt;=90,F103&lt;=115),"J","N")))</f>
        <v/>
      </c>
      <c r="R103" s="7">
        <f>IF(B103="","",IF(OR(D103="Etagenwohnung",G103="N"),0,ROUND(100*(3*IF(H103="J",1,IF(H103="N",0,0.5))+3*IF(I103="J",1,IF(I103="N",0,0.5))+2*IF(J103="J",1,IF(J103="N",0,0.5))+2*IF(K103="J",1,IF(K103="N",0,0.5))+1*IF(L103="J",1,IF(L103="N",0,0.5))+1*IF(M103="J",1,IF(M103="N",0,0.5))+1*IF(N103="J",1,IF(N103="N",0,0.5))+1*IF(O103="J",1,IF(O103="N",0,0.5))+2*IF(P103="J",1,IF(P103="N",0,0.5))+3*IF(Q103="J",1,IF(Q103="N",0,0.5)))/19,0)))</f>
        <v/>
      </c>
      <c r="S103" s="7" t="n"/>
      <c r="T103" s="5" t="n"/>
    </row>
    <row r="104">
      <c r="A104" s="5" t="n"/>
      <c r="B104" s="5" t="n"/>
      <c r="C104" s="5" t="n"/>
      <c r="D104" s="5" t="n"/>
      <c r="E104" s="6" t="n"/>
      <c r="F104" s="5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>
        <f>IF(B104="","",IF(E104="","?",IF(E104&lt;=1250000,"J","N")))</f>
        <v/>
      </c>
      <c r="Q104" s="7">
        <f>IF(B104="","",IF(F104="","?",IF(AND(F104&gt;=90,F104&lt;=115),"J","N")))</f>
        <v/>
      </c>
      <c r="R104" s="7">
        <f>IF(B104="","",IF(OR(D104="Etagenwohnung",G104="N"),0,ROUND(100*(3*IF(H104="J",1,IF(H104="N",0,0.5))+3*IF(I104="J",1,IF(I104="N",0,0.5))+2*IF(J104="J",1,IF(J104="N",0,0.5))+2*IF(K104="J",1,IF(K104="N",0,0.5))+1*IF(L104="J",1,IF(L104="N",0,0.5))+1*IF(M104="J",1,IF(M104="N",0,0.5))+1*IF(N104="J",1,IF(N104="N",0,0.5))+1*IF(O104="J",1,IF(O104="N",0,0.5))+2*IF(P104="J",1,IF(P104="N",0,0.5))+3*IF(Q104="J",1,IF(Q104="N",0,0.5)))/19,0)))</f>
        <v/>
      </c>
      <c r="S104" s="7" t="n"/>
      <c r="T104" s="5" t="n"/>
    </row>
    <row r="105">
      <c r="A105" s="5" t="n"/>
      <c r="B105" s="5" t="n"/>
      <c r="C105" s="5" t="n"/>
      <c r="D105" s="5" t="n"/>
      <c r="E105" s="6" t="n"/>
      <c r="F105" s="5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>
        <f>IF(B105="","",IF(E105="","?",IF(E105&lt;=1250000,"J","N")))</f>
        <v/>
      </c>
      <c r="Q105" s="7">
        <f>IF(B105="","",IF(F105="","?",IF(AND(F105&gt;=90,F105&lt;=115),"J","N")))</f>
        <v/>
      </c>
      <c r="R105" s="7">
        <f>IF(B105="","",IF(OR(D105="Etagenwohnung",G105="N"),0,ROUND(100*(3*IF(H105="J",1,IF(H105="N",0,0.5))+3*IF(I105="J",1,IF(I105="N",0,0.5))+2*IF(J105="J",1,IF(J105="N",0,0.5))+2*IF(K105="J",1,IF(K105="N",0,0.5))+1*IF(L105="J",1,IF(L105="N",0,0.5))+1*IF(M105="J",1,IF(M105="N",0,0.5))+1*IF(N105="J",1,IF(N105="N",0,0.5))+1*IF(O105="J",1,IF(O105="N",0,0.5))+2*IF(P105="J",1,IF(P105="N",0,0.5))+3*IF(Q105="J",1,IF(Q105="N",0,0.5)))/19,0)))</f>
        <v/>
      </c>
      <c r="S105" s="7" t="n"/>
      <c r="T105" s="5" t="n"/>
    </row>
    <row r="106">
      <c r="A106" s="5" t="n"/>
      <c r="B106" s="5" t="n"/>
      <c r="C106" s="5" t="n"/>
      <c r="D106" s="5" t="n"/>
      <c r="E106" s="6" t="n"/>
      <c r="F106" s="5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>
        <f>IF(B106="","",IF(E106="","?",IF(E106&lt;=1250000,"J","N")))</f>
        <v/>
      </c>
      <c r="Q106" s="7">
        <f>IF(B106="","",IF(F106="","?",IF(AND(F106&gt;=90,F106&lt;=115),"J","N")))</f>
        <v/>
      </c>
      <c r="R106" s="7">
        <f>IF(B106="","",IF(OR(D106="Etagenwohnung",G106="N"),0,ROUND(100*(3*IF(H106="J",1,IF(H106="N",0,0.5))+3*IF(I106="J",1,IF(I106="N",0,0.5))+2*IF(J106="J",1,IF(J106="N",0,0.5))+2*IF(K106="J",1,IF(K106="N",0,0.5))+1*IF(L106="J",1,IF(L106="N",0,0.5))+1*IF(M106="J",1,IF(M106="N",0,0.5))+1*IF(N106="J",1,IF(N106="N",0,0.5))+1*IF(O106="J",1,IF(O106="N",0,0.5))+2*IF(P106="J",1,IF(P106="N",0,0.5))+3*IF(Q106="J",1,IF(Q106="N",0,0.5)))/19,0)))</f>
        <v/>
      </c>
      <c r="S106" s="7" t="n"/>
      <c r="T106" s="5" t="n"/>
    </row>
    <row r="107">
      <c r="A107" s="5" t="n"/>
      <c r="B107" s="5" t="n"/>
      <c r="C107" s="5" t="n"/>
      <c r="D107" s="5" t="n"/>
      <c r="E107" s="6" t="n"/>
      <c r="F107" s="5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>
        <f>IF(B107="","",IF(E107="","?",IF(E107&lt;=1250000,"J","N")))</f>
        <v/>
      </c>
      <c r="Q107" s="7">
        <f>IF(B107="","",IF(F107="","?",IF(AND(F107&gt;=90,F107&lt;=115),"J","N")))</f>
        <v/>
      </c>
      <c r="R107" s="7">
        <f>IF(B107="","",IF(OR(D107="Etagenwohnung",G107="N"),0,ROUND(100*(3*IF(H107="J",1,IF(H107="N",0,0.5))+3*IF(I107="J",1,IF(I107="N",0,0.5))+2*IF(J107="J",1,IF(J107="N",0,0.5))+2*IF(K107="J",1,IF(K107="N",0,0.5))+1*IF(L107="J",1,IF(L107="N",0,0.5))+1*IF(M107="J",1,IF(M107="N",0,0.5))+1*IF(N107="J",1,IF(N107="N",0,0.5))+1*IF(O107="J",1,IF(O107="N",0,0.5))+2*IF(P107="J",1,IF(P107="N",0,0.5))+3*IF(Q107="J",1,IF(Q107="N",0,0.5)))/19,0)))</f>
        <v/>
      </c>
      <c r="S107" s="7" t="n"/>
      <c r="T107" s="5" t="n"/>
    </row>
    <row r="108">
      <c r="A108" s="5" t="n"/>
      <c r="B108" s="5" t="n"/>
      <c r="C108" s="5" t="n"/>
      <c r="D108" s="5" t="n"/>
      <c r="E108" s="6" t="n"/>
      <c r="F108" s="5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>
        <f>IF(B108="","",IF(E108="","?",IF(E108&lt;=1250000,"J","N")))</f>
        <v/>
      </c>
      <c r="Q108" s="7">
        <f>IF(B108="","",IF(F108="","?",IF(AND(F108&gt;=90,F108&lt;=115),"J","N")))</f>
        <v/>
      </c>
      <c r="R108" s="7">
        <f>IF(B108="","",IF(OR(D108="Etagenwohnung",G108="N"),0,ROUND(100*(3*IF(H108="J",1,IF(H108="N",0,0.5))+3*IF(I108="J",1,IF(I108="N",0,0.5))+2*IF(J108="J",1,IF(J108="N",0,0.5))+2*IF(K108="J",1,IF(K108="N",0,0.5))+1*IF(L108="J",1,IF(L108="N",0,0.5))+1*IF(M108="J",1,IF(M108="N",0,0.5))+1*IF(N108="J",1,IF(N108="N",0,0.5))+1*IF(O108="J",1,IF(O108="N",0,0.5))+2*IF(P108="J",1,IF(P108="N",0,0.5))+3*IF(Q108="J",1,IF(Q108="N",0,0.5)))/19,0)))</f>
        <v/>
      </c>
      <c r="S108" s="7" t="n"/>
      <c r="T108" s="5" t="n"/>
    </row>
    <row r="109">
      <c r="A109" s="5" t="n"/>
      <c r="B109" s="5" t="n"/>
      <c r="C109" s="5" t="n"/>
      <c r="D109" s="5" t="n"/>
      <c r="E109" s="6" t="n"/>
      <c r="F109" s="5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>
        <f>IF(B109="","",IF(E109="","?",IF(E109&lt;=1250000,"J","N")))</f>
        <v/>
      </c>
      <c r="Q109" s="7">
        <f>IF(B109="","",IF(F109="","?",IF(AND(F109&gt;=90,F109&lt;=115),"J","N")))</f>
        <v/>
      </c>
      <c r="R109" s="7">
        <f>IF(B109="","",IF(OR(D109="Etagenwohnung",G109="N"),0,ROUND(100*(3*IF(H109="J",1,IF(H109="N",0,0.5))+3*IF(I109="J",1,IF(I109="N",0,0.5))+2*IF(J109="J",1,IF(J109="N",0,0.5))+2*IF(K109="J",1,IF(K109="N",0,0.5))+1*IF(L109="J",1,IF(L109="N",0,0.5))+1*IF(M109="J",1,IF(M109="N",0,0.5))+1*IF(N109="J",1,IF(N109="N",0,0.5))+1*IF(O109="J",1,IF(O109="N",0,0.5))+2*IF(P109="J",1,IF(P109="N",0,0.5))+3*IF(Q109="J",1,IF(Q109="N",0,0.5)))/19,0)))</f>
        <v/>
      </c>
      <c r="S109" s="7" t="n"/>
      <c r="T109" s="5" t="n"/>
    </row>
    <row r="110">
      <c r="A110" s="5" t="n"/>
      <c r="B110" s="5" t="n"/>
      <c r="C110" s="5" t="n"/>
      <c r="D110" s="5" t="n"/>
      <c r="E110" s="6" t="n"/>
      <c r="F110" s="5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>
        <f>IF(B110="","",IF(E110="","?",IF(E110&lt;=1250000,"J","N")))</f>
        <v/>
      </c>
      <c r="Q110" s="7">
        <f>IF(B110="","",IF(F110="","?",IF(AND(F110&gt;=90,F110&lt;=115),"J","N")))</f>
        <v/>
      </c>
      <c r="R110" s="7">
        <f>IF(B110="","",IF(OR(D110="Etagenwohnung",G110="N"),0,ROUND(100*(3*IF(H110="J",1,IF(H110="N",0,0.5))+3*IF(I110="J",1,IF(I110="N",0,0.5))+2*IF(J110="J",1,IF(J110="N",0,0.5))+2*IF(K110="J",1,IF(K110="N",0,0.5))+1*IF(L110="J",1,IF(L110="N",0,0.5))+1*IF(M110="J",1,IF(M110="N",0,0.5))+1*IF(N110="J",1,IF(N110="N",0,0.5))+1*IF(O110="J",1,IF(O110="N",0,0.5))+2*IF(P110="J",1,IF(P110="N",0,0.5))+3*IF(Q110="J",1,IF(Q110="N",0,0.5)))/19,0)))</f>
        <v/>
      </c>
      <c r="S110" s="7" t="n"/>
      <c r="T110" s="5" t="n"/>
    </row>
    <row r="111">
      <c r="A111" s="5" t="n"/>
      <c r="B111" s="5" t="n"/>
      <c r="C111" s="5" t="n"/>
      <c r="D111" s="5" t="n"/>
      <c r="E111" s="6" t="n"/>
      <c r="F111" s="5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>
        <f>IF(B111="","",IF(E111="","?",IF(E111&lt;=1250000,"J","N")))</f>
        <v/>
      </c>
      <c r="Q111" s="7">
        <f>IF(B111="","",IF(F111="","?",IF(AND(F111&gt;=90,F111&lt;=115),"J","N")))</f>
        <v/>
      </c>
      <c r="R111" s="7">
        <f>IF(B111="","",IF(OR(D111="Etagenwohnung",G111="N"),0,ROUND(100*(3*IF(H111="J",1,IF(H111="N",0,0.5))+3*IF(I111="J",1,IF(I111="N",0,0.5))+2*IF(J111="J",1,IF(J111="N",0,0.5))+2*IF(K111="J",1,IF(K111="N",0,0.5))+1*IF(L111="J",1,IF(L111="N",0,0.5))+1*IF(M111="J",1,IF(M111="N",0,0.5))+1*IF(N111="J",1,IF(N111="N",0,0.5))+1*IF(O111="J",1,IF(O111="N",0,0.5))+2*IF(P111="J",1,IF(P111="N",0,0.5))+3*IF(Q111="J",1,IF(Q111="N",0,0.5)))/19,0)))</f>
        <v/>
      </c>
      <c r="S111" s="7" t="n"/>
      <c r="T111" s="5" t="n"/>
    </row>
    <row r="112">
      <c r="A112" s="5" t="n"/>
      <c r="B112" s="5" t="n"/>
      <c r="C112" s="5" t="n"/>
      <c r="D112" s="5" t="n"/>
      <c r="E112" s="6" t="n"/>
      <c r="F112" s="5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>
        <f>IF(B112="","",IF(E112="","?",IF(E112&lt;=1250000,"J","N")))</f>
        <v/>
      </c>
      <c r="Q112" s="7">
        <f>IF(B112="","",IF(F112="","?",IF(AND(F112&gt;=90,F112&lt;=115),"J","N")))</f>
        <v/>
      </c>
      <c r="R112" s="7">
        <f>IF(B112="","",IF(OR(D112="Etagenwohnung",G112="N"),0,ROUND(100*(3*IF(H112="J",1,IF(H112="N",0,0.5))+3*IF(I112="J",1,IF(I112="N",0,0.5))+2*IF(J112="J",1,IF(J112="N",0,0.5))+2*IF(K112="J",1,IF(K112="N",0,0.5))+1*IF(L112="J",1,IF(L112="N",0,0.5))+1*IF(M112="J",1,IF(M112="N",0,0.5))+1*IF(N112="J",1,IF(N112="N",0,0.5))+1*IF(O112="J",1,IF(O112="N",0,0.5))+2*IF(P112="J",1,IF(P112="N",0,0.5))+3*IF(Q112="J",1,IF(Q112="N",0,0.5)))/19,0)))</f>
        <v/>
      </c>
      <c r="S112" s="7" t="n"/>
      <c r="T112" s="5" t="n"/>
    </row>
    <row r="113">
      <c r="A113" s="5" t="n"/>
      <c r="B113" s="5" t="n"/>
      <c r="C113" s="5" t="n"/>
      <c r="D113" s="5" t="n"/>
      <c r="E113" s="6" t="n"/>
      <c r="F113" s="5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>
        <f>IF(B113="","",IF(E113="","?",IF(E113&lt;=1250000,"J","N")))</f>
        <v/>
      </c>
      <c r="Q113" s="7">
        <f>IF(B113="","",IF(F113="","?",IF(AND(F113&gt;=90,F113&lt;=115),"J","N")))</f>
        <v/>
      </c>
      <c r="R113" s="7">
        <f>IF(B113="","",IF(OR(D113="Etagenwohnung",G113="N"),0,ROUND(100*(3*IF(H113="J",1,IF(H113="N",0,0.5))+3*IF(I113="J",1,IF(I113="N",0,0.5))+2*IF(J113="J",1,IF(J113="N",0,0.5))+2*IF(K113="J",1,IF(K113="N",0,0.5))+1*IF(L113="J",1,IF(L113="N",0,0.5))+1*IF(M113="J",1,IF(M113="N",0,0.5))+1*IF(N113="J",1,IF(N113="N",0,0.5))+1*IF(O113="J",1,IF(O113="N",0,0.5))+2*IF(P113="J",1,IF(P113="N",0,0.5))+3*IF(Q113="J",1,IF(Q113="N",0,0.5)))/19,0)))</f>
        <v/>
      </c>
      <c r="S113" s="7" t="n"/>
      <c r="T113" s="5" t="n"/>
    </row>
    <row r="114">
      <c r="A114" s="5" t="n"/>
      <c r="B114" s="5" t="n"/>
      <c r="C114" s="5" t="n"/>
      <c r="D114" s="5" t="n"/>
      <c r="E114" s="6" t="n"/>
      <c r="F114" s="5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>
        <f>IF(B114="","",IF(E114="","?",IF(E114&lt;=1250000,"J","N")))</f>
        <v/>
      </c>
      <c r="Q114" s="7">
        <f>IF(B114="","",IF(F114="","?",IF(AND(F114&gt;=90,F114&lt;=115),"J","N")))</f>
        <v/>
      </c>
      <c r="R114" s="7">
        <f>IF(B114="","",IF(OR(D114="Etagenwohnung",G114="N"),0,ROUND(100*(3*IF(H114="J",1,IF(H114="N",0,0.5))+3*IF(I114="J",1,IF(I114="N",0,0.5))+2*IF(J114="J",1,IF(J114="N",0,0.5))+2*IF(K114="J",1,IF(K114="N",0,0.5))+1*IF(L114="J",1,IF(L114="N",0,0.5))+1*IF(M114="J",1,IF(M114="N",0,0.5))+1*IF(N114="J",1,IF(N114="N",0,0.5))+1*IF(O114="J",1,IF(O114="N",0,0.5))+2*IF(P114="J",1,IF(P114="N",0,0.5))+3*IF(Q114="J",1,IF(Q114="N",0,0.5)))/19,0)))</f>
        <v/>
      </c>
      <c r="S114" s="7" t="n"/>
      <c r="T114" s="5" t="n"/>
    </row>
    <row r="115">
      <c r="A115" s="5" t="n"/>
      <c r="B115" s="5" t="n"/>
      <c r="C115" s="5" t="n"/>
      <c r="D115" s="5" t="n"/>
      <c r="E115" s="6" t="n"/>
      <c r="F115" s="5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>
        <f>IF(B115="","",IF(E115="","?",IF(E115&lt;=1250000,"J","N")))</f>
        <v/>
      </c>
      <c r="Q115" s="7">
        <f>IF(B115="","",IF(F115="","?",IF(AND(F115&gt;=90,F115&lt;=115),"J","N")))</f>
        <v/>
      </c>
      <c r="R115" s="7">
        <f>IF(B115="","",IF(OR(D115="Etagenwohnung",G115="N"),0,ROUND(100*(3*IF(H115="J",1,IF(H115="N",0,0.5))+3*IF(I115="J",1,IF(I115="N",0,0.5))+2*IF(J115="J",1,IF(J115="N",0,0.5))+2*IF(K115="J",1,IF(K115="N",0,0.5))+1*IF(L115="J",1,IF(L115="N",0,0.5))+1*IF(M115="J",1,IF(M115="N",0,0.5))+1*IF(N115="J",1,IF(N115="N",0,0.5))+1*IF(O115="J",1,IF(O115="N",0,0.5))+2*IF(P115="J",1,IF(P115="N",0,0.5))+3*IF(Q115="J",1,IF(Q115="N",0,0.5)))/19,0)))</f>
        <v/>
      </c>
      <c r="S115" s="7" t="n"/>
      <c r="T115" s="5" t="n"/>
    </row>
    <row r="116">
      <c r="A116" s="5" t="n"/>
      <c r="B116" s="5" t="n"/>
      <c r="C116" s="5" t="n"/>
      <c r="D116" s="5" t="n"/>
      <c r="E116" s="6" t="n"/>
      <c r="F116" s="5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>
        <f>IF(B116="","",IF(E116="","?",IF(E116&lt;=1250000,"J","N")))</f>
        <v/>
      </c>
      <c r="Q116" s="7">
        <f>IF(B116="","",IF(F116="","?",IF(AND(F116&gt;=90,F116&lt;=115),"J","N")))</f>
        <v/>
      </c>
      <c r="R116" s="7">
        <f>IF(B116="","",IF(OR(D116="Etagenwohnung",G116="N"),0,ROUND(100*(3*IF(H116="J",1,IF(H116="N",0,0.5))+3*IF(I116="J",1,IF(I116="N",0,0.5))+2*IF(J116="J",1,IF(J116="N",0,0.5))+2*IF(K116="J",1,IF(K116="N",0,0.5))+1*IF(L116="J",1,IF(L116="N",0,0.5))+1*IF(M116="J",1,IF(M116="N",0,0.5))+1*IF(N116="J",1,IF(N116="N",0,0.5))+1*IF(O116="J",1,IF(O116="N",0,0.5))+2*IF(P116="J",1,IF(P116="N",0,0.5))+3*IF(Q116="J",1,IF(Q116="N",0,0.5)))/19,0)))</f>
        <v/>
      </c>
      <c r="S116" s="7" t="n"/>
      <c r="T116" s="5" t="n"/>
    </row>
    <row r="117">
      <c r="A117" s="5" t="n"/>
      <c r="B117" s="5" t="n"/>
      <c r="C117" s="5" t="n"/>
      <c r="D117" s="5" t="n"/>
      <c r="E117" s="6" t="n"/>
      <c r="F117" s="5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>
        <f>IF(B117="","",IF(E117="","?",IF(E117&lt;=1250000,"J","N")))</f>
        <v/>
      </c>
      <c r="Q117" s="7">
        <f>IF(B117="","",IF(F117="","?",IF(AND(F117&gt;=90,F117&lt;=115),"J","N")))</f>
        <v/>
      </c>
      <c r="R117" s="7">
        <f>IF(B117="","",IF(OR(D117="Etagenwohnung",G117="N"),0,ROUND(100*(3*IF(H117="J",1,IF(H117="N",0,0.5))+3*IF(I117="J",1,IF(I117="N",0,0.5))+2*IF(J117="J",1,IF(J117="N",0,0.5))+2*IF(K117="J",1,IF(K117="N",0,0.5))+1*IF(L117="J",1,IF(L117="N",0,0.5))+1*IF(M117="J",1,IF(M117="N",0,0.5))+1*IF(N117="J",1,IF(N117="N",0,0.5))+1*IF(O117="J",1,IF(O117="N",0,0.5))+2*IF(P117="J",1,IF(P117="N",0,0.5))+3*IF(Q117="J",1,IF(Q117="N",0,0.5)))/19,0)))</f>
        <v/>
      </c>
      <c r="S117" s="7" t="n"/>
      <c r="T117" s="5" t="n"/>
    </row>
    <row r="118">
      <c r="A118" s="5" t="n"/>
      <c r="B118" s="5" t="n"/>
      <c r="C118" s="5" t="n"/>
      <c r="D118" s="5" t="n"/>
      <c r="E118" s="6" t="n"/>
      <c r="F118" s="5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>
        <f>IF(B118="","",IF(E118="","?",IF(E118&lt;=1250000,"J","N")))</f>
        <v/>
      </c>
      <c r="Q118" s="7">
        <f>IF(B118="","",IF(F118="","?",IF(AND(F118&gt;=90,F118&lt;=115),"J","N")))</f>
        <v/>
      </c>
      <c r="R118" s="7">
        <f>IF(B118="","",IF(OR(D118="Etagenwohnung",G118="N"),0,ROUND(100*(3*IF(H118="J",1,IF(H118="N",0,0.5))+3*IF(I118="J",1,IF(I118="N",0,0.5))+2*IF(J118="J",1,IF(J118="N",0,0.5))+2*IF(K118="J",1,IF(K118="N",0,0.5))+1*IF(L118="J",1,IF(L118="N",0,0.5))+1*IF(M118="J",1,IF(M118="N",0,0.5))+1*IF(N118="J",1,IF(N118="N",0,0.5))+1*IF(O118="J",1,IF(O118="N",0,0.5))+2*IF(P118="J",1,IF(P118="N",0,0.5))+3*IF(Q118="J",1,IF(Q118="N",0,0.5)))/19,0)))</f>
        <v/>
      </c>
      <c r="S118" s="7" t="n"/>
      <c r="T118" s="5" t="n"/>
    </row>
    <row r="119">
      <c r="A119" s="5" t="n"/>
      <c r="B119" s="5" t="n"/>
      <c r="C119" s="5" t="n"/>
      <c r="D119" s="5" t="n"/>
      <c r="E119" s="6" t="n"/>
      <c r="F119" s="5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>
        <f>IF(B119="","",IF(E119="","?",IF(E119&lt;=1250000,"J","N")))</f>
        <v/>
      </c>
      <c r="Q119" s="7">
        <f>IF(B119="","",IF(F119="","?",IF(AND(F119&gt;=90,F119&lt;=115),"J","N")))</f>
        <v/>
      </c>
      <c r="R119" s="7">
        <f>IF(B119="","",IF(OR(D119="Etagenwohnung",G119="N"),0,ROUND(100*(3*IF(H119="J",1,IF(H119="N",0,0.5))+3*IF(I119="J",1,IF(I119="N",0,0.5))+2*IF(J119="J",1,IF(J119="N",0,0.5))+2*IF(K119="J",1,IF(K119="N",0,0.5))+1*IF(L119="J",1,IF(L119="N",0,0.5))+1*IF(M119="J",1,IF(M119="N",0,0.5))+1*IF(N119="J",1,IF(N119="N",0,0.5))+1*IF(O119="J",1,IF(O119="N",0,0.5))+2*IF(P119="J",1,IF(P119="N",0,0.5))+3*IF(Q119="J",1,IF(Q119="N",0,0.5)))/19,0)))</f>
        <v/>
      </c>
      <c r="S119" s="7" t="n"/>
      <c r="T119" s="5" t="n"/>
    </row>
    <row r="120">
      <c r="A120" s="5" t="n"/>
      <c r="B120" s="5" t="n"/>
      <c r="C120" s="5" t="n"/>
      <c r="D120" s="5" t="n"/>
      <c r="E120" s="6" t="n"/>
      <c r="F120" s="5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>
        <f>IF(B120="","",IF(E120="","?",IF(E120&lt;=1250000,"J","N")))</f>
        <v/>
      </c>
      <c r="Q120" s="7">
        <f>IF(B120="","",IF(F120="","?",IF(AND(F120&gt;=90,F120&lt;=115),"J","N")))</f>
        <v/>
      </c>
      <c r="R120" s="7">
        <f>IF(B120="","",IF(OR(D120="Etagenwohnung",G120="N"),0,ROUND(100*(3*IF(H120="J",1,IF(H120="N",0,0.5))+3*IF(I120="J",1,IF(I120="N",0,0.5))+2*IF(J120="J",1,IF(J120="N",0,0.5))+2*IF(K120="J",1,IF(K120="N",0,0.5))+1*IF(L120="J",1,IF(L120="N",0,0.5))+1*IF(M120="J",1,IF(M120="N",0,0.5))+1*IF(N120="J",1,IF(N120="N",0,0.5))+1*IF(O120="J",1,IF(O120="N",0,0.5))+2*IF(P120="J",1,IF(P120="N",0,0.5))+3*IF(Q120="J",1,IF(Q120="N",0,0.5)))/19,0)))</f>
        <v/>
      </c>
      <c r="S120" s="7" t="n"/>
      <c r="T120" s="5" t="n"/>
    </row>
    <row r="121">
      <c r="A121" s="5" t="n"/>
      <c r="B121" s="5" t="n"/>
      <c r="C121" s="5" t="n"/>
      <c r="D121" s="5" t="n"/>
      <c r="E121" s="6" t="n"/>
      <c r="F121" s="5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>
        <f>IF(B121="","",IF(E121="","?",IF(E121&lt;=1250000,"J","N")))</f>
        <v/>
      </c>
      <c r="Q121" s="7">
        <f>IF(B121="","",IF(F121="","?",IF(AND(F121&gt;=90,F121&lt;=115),"J","N")))</f>
        <v/>
      </c>
      <c r="R121" s="7">
        <f>IF(B121="","",IF(OR(D121="Etagenwohnung",G121="N"),0,ROUND(100*(3*IF(H121="J",1,IF(H121="N",0,0.5))+3*IF(I121="J",1,IF(I121="N",0,0.5))+2*IF(J121="J",1,IF(J121="N",0,0.5))+2*IF(K121="J",1,IF(K121="N",0,0.5))+1*IF(L121="J",1,IF(L121="N",0,0.5))+1*IF(M121="J",1,IF(M121="N",0,0.5))+1*IF(N121="J",1,IF(N121="N",0,0.5))+1*IF(O121="J",1,IF(O121="N",0,0.5))+2*IF(P121="J",1,IF(P121="N",0,0.5))+3*IF(Q121="J",1,IF(Q121="N",0,0.5)))/19,0)))</f>
        <v/>
      </c>
      <c r="S121" s="7" t="n"/>
      <c r="T121" s="5" t="n"/>
    </row>
    <row r="122">
      <c r="A122" s="5" t="n"/>
      <c r="B122" s="5" t="n"/>
      <c r="C122" s="5" t="n"/>
      <c r="D122" s="5" t="n"/>
      <c r="E122" s="6" t="n"/>
      <c r="F122" s="5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>
        <f>IF(B122="","",IF(E122="","?",IF(E122&lt;=1250000,"J","N")))</f>
        <v/>
      </c>
      <c r="Q122" s="7">
        <f>IF(B122="","",IF(F122="","?",IF(AND(F122&gt;=90,F122&lt;=115),"J","N")))</f>
        <v/>
      </c>
      <c r="R122" s="7">
        <f>IF(B122="","",IF(OR(D122="Etagenwohnung",G122="N"),0,ROUND(100*(3*IF(H122="J",1,IF(H122="N",0,0.5))+3*IF(I122="J",1,IF(I122="N",0,0.5))+2*IF(J122="J",1,IF(J122="N",0,0.5))+2*IF(K122="J",1,IF(K122="N",0,0.5))+1*IF(L122="J",1,IF(L122="N",0,0.5))+1*IF(M122="J",1,IF(M122="N",0,0.5))+1*IF(N122="J",1,IF(N122="N",0,0.5))+1*IF(O122="J",1,IF(O122="N",0,0.5))+2*IF(P122="J",1,IF(P122="N",0,0.5))+3*IF(Q122="J",1,IF(Q122="N",0,0.5)))/19,0)))</f>
        <v/>
      </c>
      <c r="S122" s="7" t="n"/>
      <c r="T122" s="5" t="n"/>
    </row>
    <row r="123">
      <c r="A123" s="5" t="n"/>
      <c r="B123" s="5" t="n"/>
      <c r="C123" s="5" t="n"/>
      <c r="D123" s="5" t="n"/>
      <c r="E123" s="6" t="n"/>
      <c r="F123" s="5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>
        <f>IF(B123="","",IF(E123="","?",IF(E123&lt;=1250000,"J","N")))</f>
        <v/>
      </c>
      <c r="Q123" s="7">
        <f>IF(B123="","",IF(F123="","?",IF(AND(F123&gt;=90,F123&lt;=115),"J","N")))</f>
        <v/>
      </c>
      <c r="R123" s="7">
        <f>IF(B123="","",IF(OR(D123="Etagenwohnung",G123="N"),0,ROUND(100*(3*IF(H123="J",1,IF(H123="N",0,0.5))+3*IF(I123="J",1,IF(I123="N",0,0.5))+2*IF(J123="J",1,IF(J123="N",0,0.5))+2*IF(K123="J",1,IF(K123="N",0,0.5))+1*IF(L123="J",1,IF(L123="N",0,0.5))+1*IF(M123="J",1,IF(M123="N",0,0.5))+1*IF(N123="J",1,IF(N123="N",0,0.5))+1*IF(O123="J",1,IF(O123="N",0,0.5))+2*IF(P123="J",1,IF(P123="N",0,0.5))+3*IF(Q123="J",1,IF(Q123="N",0,0.5)))/19,0)))</f>
        <v/>
      </c>
      <c r="S123" s="7" t="n"/>
      <c r="T123" s="5" t="n"/>
    </row>
    <row r="124">
      <c r="A124" s="5" t="n"/>
      <c r="B124" s="5" t="n"/>
      <c r="C124" s="5" t="n"/>
      <c r="D124" s="5" t="n"/>
      <c r="E124" s="6" t="n"/>
      <c r="F124" s="5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>
        <f>IF(B124="","",IF(E124="","?",IF(E124&lt;=1250000,"J","N")))</f>
        <v/>
      </c>
      <c r="Q124" s="7">
        <f>IF(B124="","",IF(F124="","?",IF(AND(F124&gt;=90,F124&lt;=115),"J","N")))</f>
        <v/>
      </c>
      <c r="R124" s="7">
        <f>IF(B124="","",IF(OR(D124="Etagenwohnung",G124="N"),0,ROUND(100*(3*IF(H124="J",1,IF(H124="N",0,0.5))+3*IF(I124="J",1,IF(I124="N",0,0.5))+2*IF(J124="J",1,IF(J124="N",0,0.5))+2*IF(K124="J",1,IF(K124="N",0,0.5))+1*IF(L124="J",1,IF(L124="N",0,0.5))+1*IF(M124="J",1,IF(M124="N",0,0.5))+1*IF(N124="J",1,IF(N124="N",0,0.5))+1*IF(O124="J",1,IF(O124="N",0,0.5))+2*IF(P124="J",1,IF(P124="N",0,0.5))+3*IF(Q124="J",1,IF(Q124="N",0,0.5)))/19,0)))</f>
        <v/>
      </c>
      <c r="S124" s="7" t="n"/>
      <c r="T124" s="5" t="n"/>
    </row>
    <row r="125">
      <c r="A125" s="5" t="n"/>
      <c r="B125" s="5" t="n"/>
      <c r="C125" s="5" t="n"/>
      <c r="D125" s="5" t="n"/>
      <c r="E125" s="6" t="n"/>
      <c r="F125" s="5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>
        <f>IF(B125="","",IF(E125="","?",IF(E125&lt;=1250000,"J","N")))</f>
        <v/>
      </c>
      <c r="Q125" s="7">
        <f>IF(B125="","",IF(F125="","?",IF(AND(F125&gt;=90,F125&lt;=115),"J","N")))</f>
        <v/>
      </c>
      <c r="R125" s="7">
        <f>IF(B125="","",IF(OR(D125="Etagenwohnung",G125="N"),0,ROUND(100*(3*IF(H125="J",1,IF(H125="N",0,0.5))+3*IF(I125="J",1,IF(I125="N",0,0.5))+2*IF(J125="J",1,IF(J125="N",0,0.5))+2*IF(K125="J",1,IF(K125="N",0,0.5))+1*IF(L125="J",1,IF(L125="N",0,0.5))+1*IF(M125="J",1,IF(M125="N",0,0.5))+1*IF(N125="J",1,IF(N125="N",0,0.5))+1*IF(O125="J",1,IF(O125="N",0,0.5))+2*IF(P125="J",1,IF(P125="N",0,0.5))+3*IF(Q125="J",1,IF(Q125="N",0,0.5)))/19,0)))</f>
        <v/>
      </c>
      <c r="S125" s="7" t="n"/>
      <c r="T125" s="5" t="n"/>
    </row>
    <row r="126">
      <c r="A126" s="5" t="n"/>
      <c r="B126" s="5" t="n"/>
      <c r="C126" s="5" t="n"/>
      <c r="D126" s="5" t="n"/>
      <c r="E126" s="6" t="n"/>
      <c r="F126" s="5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>
        <f>IF(B126="","",IF(E126="","?",IF(E126&lt;=1250000,"J","N")))</f>
        <v/>
      </c>
      <c r="Q126" s="7">
        <f>IF(B126="","",IF(F126="","?",IF(AND(F126&gt;=90,F126&lt;=115),"J","N")))</f>
        <v/>
      </c>
      <c r="R126" s="7">
        <f>IF(B126="","",IF(OR(D126="Etagenwohnung",G126="N"),0,ROUND(100*(3*IF(H126="J",1,IF(H126="N",0,0.5))+3*IF(I126="J",1,IF(I126="N",0,0.5))+2*IF(J126="J",1,IF(J126="N",0,0.5))+2*IF(K126="J",1,IF(K126="N",0,0.5))+1*IF(L126="J",1,IF(L126="N",0,0.5))+1*IF(M126="J",1,IF(M126="N",0,0.5))+1*IF(N126="J",1,IF(N126="N",0,0.5))+1*IF(O126="J",1,IF(O126="N",0,0.5))+2*IF(P126="J",1,IF(P126="N",0,0.5))+3*IF(Q126="J",1,IF(Q126="N",0,0.5)))/19,0)))</f>
        <v/>
      </c>
      <c r="S126" s="7" t="n"/>
      <c r="T126" s="5" t="n"/>
    </row>
    <row r="127">
      <c r="A127" s="5" t="n"/>
      <c r="B127" s="5" t="n"/>
      <c r="C127" s="5" t="n"/>
      <c r="D127" s="5" t="n"/>
      <c r="E127" s="6" t="n"/>
      <c r="F127" s="5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>
        <f>IF(B127="","",IF(E127="","?",IF(E127&lt;=1250000,"J","N")))</f>
        <v/>
      </c>
      <c r="Q127" s="7">
        <f>IF(B127="","",IF(F127="","?",IF(AND(F127&gt;=90,F127&lt;=115),"J","N")))</f>
        <v/>
      </c>
      <c r="R127" s="7">
        <f>IF(B127="","",IF(OR(D127="Etagenwohnung",G127="N"),0,ROUND(100*(3*IF(H127="J",1,IF(H127="N",0,0.5))+3*IF(I127="J",1,IF(I127="N",0,0.5))+2*IF(J127="J",1,IF(J127="N",0,0.5))+2*IF(K127="J",1,IF(K127="N",0,0.5))+1*IF(L127="J",1,IF(L127="N",0,0.5))+1*IF(M127="J",1,IF(M127="N",0,0.5))+1*IF(N127="J",1,IF(N127="N",0,0.5))+1*IF(O127="J",1,IF(O127="N",0,0.5))+2*IF(P127="J",1,IF(P127="N",0,0.5))+3*IF(Q127="J",1,IF(Q127="N",0,0.5)))/19,0)))</f>
        <v/>
      </c>
      <c r="S127" s="7" t="n"/>
      <c r="T127" s="5" t="n"/>
    </row>
    <row r="128">
      <c r="A128" s="5" t="n"/>
      <c r="B128" s="5" t="n"/>
      <c r="C128" s="5" t="n"/>
      <c r="D128" s="5" t="n"/>
      <c r="E128" s="6" t="n"/>
      <c r="F128" s="5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>
        <f>IF(B128="","",IF(E128="","?",IF(E128&lt;=1250000,"J","N")))</f>
        <v/>
      </c>
      <c r="Q128" s="7">
        <f>IF(B128="","",IF(F128="","?",IF(AND(F128&gt;=90,F128&lt;=115),"J","N")))</f>
        <v/>
      </c>
      <c r="R128" s="7">
        <f>IF(B128="","",IF(OR(D128="Etagenwohnung",G128="N"),0,ROUND(100*(3*IF(H128="J",1,IF(H128="N",0,0.5))+3*IF(I128="J",1,IF(I128="N",0,0.5))+2*IF(J128="J",1,IF(J128="N",0,0.5))+2*IF(K128="J",1,IF(K128="N",0,0.5))+1*IF(L128="J",1,IF(L128="N",0,0.5))+1*IF(M128="J",1,IF(M128="N",0,0.5))+1*IF(N128="J",1,IF(N128="N",0,0.5))+1*IF(O128="J",1,IF(O128="N",0,0.5))+2*IF(P128="J",1,IF(P128="N",0,0.5))+3*IF(Q128="J",1,IF(Q128="N",0,0.5)))/19,0)))</f>
        <v/>
      </c>
      <c r="S128" s="7" t="n"/>
      <c r="T128" s="5" t="n"/>
    </row>
    <row r="129">
      <c r="A129" s="5" t="n"/>
      <c r="B129" s="5" t="n"/>
      <c r="C129" s="5" t="n"/>
      <c r="D129" s="5" t="n"/>
      <c r="E129" s="6" t="n"/>
      <c r="F129" s="5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>
        <f>IF(B129="","",IF(E129="","?",IF(E129&lt;=1250000,"J","N")))</f>
        <v/>
      </c>
      <c r="Q129" s="7">
        <f>IF(B129="","",IF(F129="","?",IF(AND(F129&gt;=90,F129&lt;=115),"J","N")))</f>
        <v/>
      </c>
      <c r="R129" s="7">
        <f>IF(B129="","",IF(OR(D129="Etagenwohnung",G129="N"),0,ROUND(100*(3*IF(H129="J",1,IF(H129="N",0,0.5))+3*IF(I129="J",1,IF(I129="N",0,0.5))+2*IF(J129="J",1,IF(J129="N",0,0.5))+2*IF(K129="J",1,IF(K129="N",0,0.5))+1*IF(L129="J",1,IF(L129="N",0,0.5))+1*IF(M129="J",1,IF(M129="N",0,0.5))+1*IF(N129="J",1,IF(N129="N",0,0.5))+1*IF(O129="J",1,IF(O129="N",0,0.5))+2*IF(P129="J",1,IF(P129="N",0,0.5))+3*IF(Q129="J",1,IF(Q129="N",0,0.5)))/19,0)))</f>
        <v/>
      </c>
      <c r="S129" s="7" t="n"/>
      <c r="T129" s="5" t="n"/>
    </row>
    <row r="130">
      <c r="A130" s="5" t="n"/>
      <c r="B130" s="5" t="n"/>
      <c r="C130" s="5" t="n"/>
      <c r="D130" s="5" t="n"/>
      <c r="E130" s="6" t="n"/>
      <c r="F130" s="5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>
        <f>IF(B130="","",IF(E130="","?",IF(E130&lt;=1250000,"J","N")))</f>
        <v/>
      </c>
      <c r="Q130" s="7">
        <f>IF(B130="","",IF(F130="","?",IF(AND(F130&gt;=90,F130&lt;=115),"J","N")))</f>
        <v/>
      </c>
      <c r="R130" s="7">
        <f>IF(B130="","",IF(OR(D130="Etagenwohnung",G130="N"),0,ROUND(100*(3*IF(H130="J",1,IF(H130="N",0,0.5))+3*IF(I130="J",1,IF(I130="N",0,0.5))+2*IF(J130="J",1,IF(J130="N",0,0.5))+2*IF(K130="J",1,IF(K130="N",0,0.5))+1*IF(L130="J",1,IF(L130="N",0,0.5))+1*IF(M130="J",1,IF(M130="N",0,0.5))+1*IF(N130="J",1,IF(N130="N",0,0.5))+1*IF(O130="J",1,IF(O130="N",0,0.5))+2*IF(P130="J",1,IF(P130="N",0,0.5))+3*IF(Q130="J",1,IF(Q130="N",0,0.5)))/19,0)))</f>
        <v/>
      </c>
      <c r="S130" s="7" t="n"/>
      <c r="T130" s="5" t="n"/>
    </row>
    <row r="131">
      <c r="A131" s="5" t="n"/>
      <c r="B131" s="5" t="n"/>
      <c r="C131" s="5" t="n"/>
      <c r="D131" s="5" t="n"/>
      <c r="E131" s="6" t="n"/>
      <c r="F131" s="5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>
        <f>IF(B131="","",IF(E131="","?",IF(E131&lt;=1250000,"J","N")))</f>
        <v/>
      </c>
      <c r="Q131" s="7">
        <f>IF(B131="","",IF(F131="","?",IF(AND(F131&gt;=90,F131&lt;=115),"J","N")))</f>
        <v/>
      </c>
      <c r="R131" s="7">
        <f>IF(B131="","",IF(OR(D131="Etagenwohnung",G131="N"),0,ROUND(100*(3*IF(H131="J",1,IF(H131="N",0,0.5))+3*IF(I131="J",1,IF(I131="N",0,0.5))+2*IF(J131="J",1,IF(J131="N",0,0.5))+2*IF(K131="J",1,IF(K131="N",0,0.5))+1*IF(L131="J",1,IF(L131="N",0,0.5))+1*IF(M131="J",1,IF(M131="N",0,0.5))+1*IF(N131="J",1,IF(N131="N",0,0.5))+1*IF(O131="J",1,IF(O131="N",0,0.5))+2*IF(P131="J",1,IF(P131="N",0,0.5))+3*IF(Q131="J",1,IF(Q131="N",0,0.5)))/19,0)))</f>
        <v/>
      </c>
      <c r="S131" s="7" t="n"/>
      <c r="T131" s="5" t="n"/>
    </row>
    <row r="132">
      <c r="A132" s="5" t="n"/>
      <c r="B132" s="5" t="n"/>
      <c r="C132" s="5" t="n"/>
      <c r="D132" s="5" t="n"/>
      <c r="E132" s="6" t="n"/>
      <c r="F132" s="5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>
        <f>IF(B132="","",IF(E132="","?",IF(E132&lt;=1250000,"J","N")))</f>
        <v/>
      </c>
      <c r="Q132" s="7">
        <f>IF(B132="","",IF(F132="","?",IF(AND(F132&gt;=90,F132&lt;=115),"J","N")))</f>
        <v/>
      </c>
      <c r="R132" s="7">
        <f>IF(B132="","",IF(OR(D132="Etagenwohnung",G132="N"),0,ROUND(100*(3*IF(H132="J",1,IF(H132="N",0,0.5))+3*IF(I132="J",1,IF(I132="N",0,0.5))+2*IF(J132="J",1,IF(J132="N",0,0.5))+2*IF(K132="J",1,IF(K132="N",0,0.5))+1*IF(L132="J",1,IF(L132="N",0,0.5))+1*IF(M132="J",1,IF(M132="N",0,0.5))+1*IF(N132="J",1,IF(N132="N",0,0.5))+1*IF(O132="J",1,IF(O132="N",0,0.5))+2*IF(P132="J",1,IF(P132="N",0,0.5))+3*IF(Q132="J",1,IF(Q132="N",0,0.5)))/19,0)))</f>
        <v/>
      </c>
      <c r="S132" s="7" t="n"/>
      <c r="T132" s="5" t="n"/>
    </row>
    <row r="133">
      <c r="A133" s="5" t="n"/>
      <c r="B133" s="5" t="n"/>
      <c r="C133" s="5" t="n"/>
      <c r="D133" s="5" t="n"/>
      <c r="E133" s="6" t="n"/>
      <c r="F133" s="5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>
        <f>IF(B133="","",IF(E133="","?",IF(E133&lt;=1250000,"J","N")))</f>
        <v/>
      </c>
      <c r="Q133" s="7">
        <f>IF(B133="","",IF(F133="","?",IF(AND(F133&gt;=90,F133&lt;=115),"J","N")))</f>
        <v/>
      </c>
      <c r="R133" s="7">
        <f>IF(B133="","",IF(OR(D133="Etagenwohnung",G133="N"),0,ROUND(100*(3*IF(H133="J",1,IF(H133="N",0,0.5))+3*IF(I133="J",1,IF(I133="N",0,0.5))+2*IF(J133="J",1,IF(J133="N",0,0.5))+2*IF(K133="J",1,IF(K133="N",0,0.5))+1*IF(L133="J",1,IF(L133="N",0,0.5))+1*IF(M133="J",1,IF(M133="N",0,0.5))+1*IF(N133="J",1,IF(N133="N",0,0.5))+1*IF(O133="J",1,IF(O133="N",0,0.5))+2*IF(P133="J",1,IF(P133="N",0,0.5))+3*IF(Q133="J",1,IF(Q133="N",0,0.5)))/19,0)))</f>
        <v/>
      </c>
      <c r="S133" s="7" t="n"/>
      <c r="T133" s="5" t="n"/>
    </row>
    <row r="134">
      <c r="A134" s="5" t="n"/>
      <c r="B134" s="5" t="n"/>
      <c r="C134" s="5" t="n"/>
      <c r="D134" s="5" t="n"/>
      <c r="E134" s="6" t="n"/>
      <c r="F134" s="5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>
        <f>IF(B134="","",IF(E134="","?",IF(E134&lt;=1250000,"J","N")))</f>
        <v/>
      </c>
      <c r="Q134" s="7">
        <f>IF(B134="","",IF(F134="","?",IF(AND(F134&gt;=90,F134&lt;=115),"J","N")))</f>
        <v/>
      </c>
      <c r="R134" s="7">
        <f>IF(B134="","",IF(OR(D134="Etagenwohnung",G134="N"),0,ROUND(100*(3*IF(H134="J",1,IF(H134="N",0,0.5))+3*IF(I134="J",1,IF(I134="N",0,0.5))+2*IF(J134="J",1,IF(J134="N",0,0.5))+2*IF(K134="J",1,IF(K134="N",0,0.5))+1*IF(L134="J",1,IF(L134="N",0,0.5))+1*IF(M134="J",1,IF(M134="N",0,0.5))+1*IF(N134="J",1,IF(N134="N",0,0.5))+1*IF(O134="J",1,IF(O134="N",0,0.5))+2*IF(P134="J",1,IF(P134="N",0,0.5))+3*IF(Q134="J",1,IF(Q134="N",0,0.5)))/19,0)))</f>
        <v/>
      </c>
      <c r="S134" s="7" t="n"/>
      <c r="T134" s="5" t="n"/>
    </row>
    <row r="135">
      <c r="A135" s="5" t="n"/>
      <c r="B135" s="5" t="n"/>
      <c r="C135" s="5" t="n"/>
      <c r="D135" s="5" t="n"/>
      <c r="E135" s="6" t="n"/>
      <c r="F135" s="5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>
        <f>IF(B135="","",IF(E135="","?",IF(E135&lt;=1250000,"J","N")))</f>
        <v/>
      </c>
      <c r="Q135" s="7">
        <f>IF(B135="","",IF(F135="","?",IF(AND(F135&gt;=90,F135&lt;=115),"J","N")))</f>
        <v/>
      </c>
      <c r="R135" s="7">
        <f>IF(B135="","",IF(OR(D135="Etagenwohnung",G135="N"),0,ROUND(100*(3*IF(H135="J",1,IF(H135="N",0,0.5))+3*IF(I135="J",1,IF(I135="N",0,0.5))+2*IF(J135="J",1,IF(J135="N",0,0.5))+2*IF(K135="J",1,IF(K135="N",0,0.5))+1*IF(L135="J",1,IF(L135="N",0,0.5))+1*IF(M135="J",1,IF(M135="N",0,0.5))+1*IF(N135="J",1,IF(N135="N",0,0.5))+1*IF(O135="J",1,IF(O135="N",0,0.5))+2*IF(P135="J",1,IF(P135="N",0,0.5))+3*IF(Q135="J",1,IF(Q135="N",0,0.5)))/19,0)))</f>
        <v/>
      </c>
      <c r="S135" s="7" t="n"/>
      <c r="T135" s="5" t="n"/>
    </row>
    <row r="136">
      <c r="A136" s="5" t="n"/>
      <c r="B136" s="5" t="n"/>
      <c r="C136" s="5" t="n"/>
      <c r="D136" s="5" t="n"/>
      <c r="E136" s="6" t="n"/>
      <c r="F136" s="5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>
        <f>IF(B136="","",IF(E136="","?",IF(E136&lt;=1250000,"J","N")))</f>
        <v/>
      </c>
      <c r="Q136" s="7">
        <f>IF(B136="","",IF(F136="","?",IF(AND(F136&gt;=90,F136&lt;=115),"J","N")))</f>
        <v/>
      </c>
      <c r="R136" s="7">
        <f>IF(B136="","",IF(OR(D136="Etagenwohnung",G136="N"),0,ROUND(100*(3*IF(H136="J",1,IF(H136="N",0,0.5))+3*IF(I136="J",1,IF(I136="N",0,0.5))+2*IF(J136="J",1,IF(J136="N",0,0.5))+2*IF(K136="J",1,IF(K136="N",0,0.5))+1*IF(L136="J",1,IF(L136="N",0,0.5))+1*IF(M136="J",1,IF(M136="N",0,0.5))+1*IF(N136="J",1,IF(N136="N",0,0.5))+1*IF(O136="J",1,IF(O136="N",0,0.5))+2*IF(P136="J",1,IF(P136="N",0,0.5))+3*IF(Q136="J",1,IF(Q136="N",0,0.5)))/19,0)))</f>
        <v/>
      </c>
      <c r="S136" s="7" t="n"/>
      <c r="T136" s="5" t="n"/>
    </row>
    <row r="137">
      <c r="A137" s="5" t="n"/>
      <c r="B137" s="5" t="n"/>
      <c r="C137" s="5" t="n"/>
      <c r="D137" s="5" t="n"/>
      <c r="E137" s="6" t="n"/>
      <c r="F137" s="5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>
        <f>IF(B137="","",IF(E137="","?",IF(E137&lt;=1250000,"J","N")))</f>
        <v/>
      </c>
      <c r="Q137" s="7">
        <f>IF(B137="","",IF(F137="","?",IF(AND(F137&gt;=90,F137&lt;=115),"J","N")))</f>
        <v/>
      </c>
      <c r="R137" s="7">
        <f>IF(B137="","",IF(OR(D137="Etagenwohnung",G137="N"),0,ROUND(100*(3*IF(H137="J",1,IF(H137="N",0,0.5))+3*IF(I137="J",1,IF(I137="N",0,0.5))+2*IF(J137="J",1,IF(J137="N",0,0.5))+2*IF(K137="J",1,IF(K137="N",0,0.5))+1*IF(L137="J",1,IF(L137="N",0,0.5))+1*IF(M137="J",1,IF(M137="N",0,0.5))+1*IF(N137="J",1,IF(N137="N",0,0.5))+1*IF(O137="J",1,IF(O137="N",0,0.5))+2*IF(P137="J",1,IF(P137="N",0,0.5))+3*IF(Q137="J",1,IF(Q137="N",0,0.5)))/19,0)))</f>
        <v/>
      </c>
      <c r="S137" s="7" t="n"/>
      <c r="T137" s="5" t="n"/>
    </row>
    <row r="138">
      <c r="A138" s="5" t="n"/>
      <c r="B138" s="5" t="n"/>
      <c r="C138" s="5" t="n"/>
      <c r="D138" s="5" t="n"/>
      <c r="E138" s="6" t="n"/>
      <c r="F138" s="5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>
        <f>IF(B138="","",IF(E138="","?",IF(E138&lt;=1250000,"J","N")))</f>
        <v/>
      </c>
      <c r="Q138" s="7">
        <f>IF(B138="","",IF(F138="","?",IF(AND(F138&gt;=90,F138&lt;=115),"J","N")))</f>
        <v/>
      </c>
      <c r="R138" s="7">
        <f>IF(B138="","",IF(OR(D138="Etagenwohnung",G138="N"),0,ROUND(100*(3*IF(H138="J",1,IF(H138="N",0,0.5))+3*IF(I138="J",1,IF(I138="N",0,0.5))+2*IF(J138="J",1,IF(J138="N",0,0.5))+2*IF(K138="J",1,IF(K138="N",0,0.5))+1*IF(L138="J",1,IF(L138="N",0,0.5))+1*IF(M138="J",1,IF(M138="N",0,0.5))+1*IF(N138="J",1,IF(N138="N",0,0.5))+1*IF(O138="J",1,IF(O138="N",0,0.5))+2*IF(P138="J",1,IF(P138="N",0,0.5))+3*IF(Q138="J",1,IF(Q138="N",0,0.5)))/19,0)))</f>
        <v/>
      </c>
      <c r="S138" s="7" t="n"/>
      <c r="T138" s="5" t="n"/>
    </row>
    <row r="139">
      <c r="A139" s="5" t="n"/>
      <c r="B139" s="5" t="n"/>
      <c r="C139" s="5" t="n"/>
      <c r="D139" s="5" t="n"/>
      <c r="E139" s="6" t="n"/>
      <c r="F139" s="5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>
        <f>IF(B139="","",IF(E139="","?",IF(E139&lt;=1250000,"J","N")))</f>
        <v/>
      </c>
      <c r="Q139" s="7">
        <f>IF(B139="","",IF(F139="","?",IF(AND(F139&gt;=90,F139&lt;=115),"J","N")))</f>
        <v/>
      </c>
      <c r="R139" s="7">
        <f>IF(B139="","",IF(OR(D139="Etagenwohnung",G139="N"),0,ROUND(100*(3*IF(H139="J",1,IF(H139="N",0,0.5))+3*IF(I139="J",1,IF(I139="N",0,0.5))+2*IF(J139="J",1,IF(J139="N",0,0.5))+2*IF(K139="J",1,IF(K139="N",0,0.5))+1*IF(L139="J",1,IF(L139="N",0,0.5))+1*IF(M139="J",1,IF(M139="N",0,0.5))+1*IF(N139="J",1,IF(N139="N",0,0.5))+1*IF(O139="J",1,IF(O139="N",0,0.5))+2*IF(P139="J",1,IF(P139="N",0,0.5))+3*IF(Q139="J",1,IF(Q139="N",0,0.5)))/19,0)))</f>
        <v/>
      </c>
      <c r="S139" s="7" t="n"/>
      <c r="T139" s="5" t="n"/>
    </row>
    <row r="140">
      <c r="A140" s="5" t="n"/>
      <c r="B140" s="5" t="n"/>
      <c r="C140" s="5" t="n"/>
      <c r="D140" s="5" t="n"/>
      <c r="E140" s="6" t="n"/>
      <c r="F140" s="5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>
        <f>IF(B140="","",IF(E140="","?",IF(E140&lt;=1250000,"J","N")))</f>
        <v/>
      </c>
      <c r="Q140" s="7">
        <f>IF(B140="","",IF(F140="","?",IF(AND(F140&gt;=90,F140&lt;=115),"J","N")))</f>
        <v/>
      </c>
      <c r="R140" s="7">
        <f>IF(B140="","",IF(OR(D140="Etagenwohnung",G140="N"),0,ROUND(100*(3*IF(H140="J",1,IF(H140="N",0,0.5))+3*IF(I140="J",1,IF(I140="N",0,0.5))+2*IF(J140="J",1,IF(J140="N",0,0.5))+2*IF(K140="J",1,IF(K140="N",0,0.5))+1*IF(L140="J",1,IF(L140="N",0,0.5))+1*IF(M140="J",1,IF(M140="N",0,0.5))+1*IF(N140="J",1,IF(N140="N",0,0.5))+1*IF(O140="J",1,IF(O140="N",0,0.5))+2*IF(P140="J",1,IF(P140="N",0,0.5))+3*IF(Q140="J",1,IF(Q140="N",0,0.5)))/19,0)))</f>
        <v/>
      </c>
      <c r="S140" s="7" t="n"/>
      <c r="T140" s="5" t="n"/>
    </row>
    <row r="141">
      <c r="A141" s="5" t="n"/>
      <c r="B141" s="5" t="n"/>
      <c r="C141" s="5" t="n"/>
      <c r="D141" s="5" t="n"/>
      <c r="E141" s="6" t="n"/>
      <c r="F141" s="5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>
        <f>IF(B141="","",IF(E141="","?",IF(E141&lt;=1250000,"J","N")))</f>
        <v/>
      </c>
      <c r="Q141" s="7">
        <f>IF(B141="","",IF(F141="","?",IF(AND(F141&gt;=90,F141&lt;=115),"J","N")))</f>
        <v/>
      </c>
      <c r="R141" s="7">
        <f>IF(B141="","",IF(OR(D141="Etagenwohnung",G141="N"),0,ROUND(100*(3*IF(H141="J",1,IF(H141="N",0,0.5))+3*IF(I141="J",1,IF(I141="N",0,0.5))+2*IF(J141="J",1,IF(J141="N",0,0.5))+2*IF(K141="J",1,IF(K141="N",0,0.5))+1*IF(L141="J",1,IF(L141="N",0,0.5))+1*IF(M141="J",1,IF(M141="N",0,0.5))+1*IF(N141="J",1,IF(N141="N",0,0.5))+1*IF(O141="J",1,IF(O141="N",0,0.5))+2*IF(P141="J",1,IF(P141="N",0,0.5))+3*IF(Q141="J",1,IF(Q141="N",0,0.5)))/19,0)))</f>
        <v/>
      </c>
      <c r="S141" s="7" t="n"/>
      <c r="T141" s="5" t="n"/>
    </row>
    <row r="142">
      <c r="A142" s="5" t="n"/>
      <c r="B142" s="5" t="n"/>
      <c r="C142" s="5" t="n"/>
      <c r="D142" s="5" t="n"/>
      <c r="E142" s="6" t="n"/>
      <c r="F142" s="5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>
        <f>IF(B142="","",IF(E142="","?",IF(E142&lt;=1250000,"J","N")))</f>
        <v/>
      </c>
      <c r="Q142" s="7">
        <f>IF(B142="","",IF(F142="","?",IF(AND(F142&gt;=90,F142&lt;=115),"J","N")))</f>
        <v/>
      </c>
      <c r="R142" s="7">
        <f>IF(B142="","",IF(OR(D142="Etagenwohnung",G142="N"),0,ROUND(100*(3*IF(H142="J",1,IF(H142="N",0,0.5))+3*IF(I142="J",1,IF(I142="N",0,0.5))+2*IF(J142="J",1,IF(J142="N",0,0.5))+2*IF(K142="J",1,IF(K142="N",0,0.5))+1*IF(L142="J",1,IF(L142="N",0,0.5))+1*IF(M142="J",1,IF(M142="N",0,0.5))+1*IF(N142="J",1,IF(N142="N",0,0.5))+1*IF(O142="J",1,IF(O142="N",0,0.5))+2*IF(P142="J",1,IF(P142="N",0,0.5))+3*IF(Q142="J",1,IF(Q142="N",0,0.5)))/19,0)))</f>
        <v/>
      </c>
      <c r="S142" s="7" t="n"/>
      <c r="T142" s="5" t="n"/>
    </row>
    <row r="143">
      <c r="A143" s="5" t="n"/>
      <c r="B143" s="5" t="n"/>
      <c r="C143" s="5" t="n"/>
      <c r="D143" s="5" t="n"/>
      <c r="E143" s="6" t="n"/>
      <c r="F143" s="5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>
        <f>IF(B143="","",IF(E143="","?",IF(E143&lt;=1250000,"J","N")))</f>
        <v/>
      </c>
      <c r="Q143" s="7">
        <f>IF(B143="","",IF(F143="","?",IF(AND(F143&gt;=90,F143&lt;=115),"J","N")))</f>
        <v/>
      </c>
      <c r="R143" s="7">
        <f>IF(B143="","",IF(OR(D143="Etagenwohnung",G143="N"),0,ROUND(100*(3*IF(H143="J",1,IF(H143="N",0,0.5))+3*IF(I143="J",1,IF(I143="N",0,0.5))+2*IF(J143="J",1,IF(J143="N",0,0.5))+2*IF(K143="J",1,IF(K143="N",0,0.5))+1*IF(L143="J",1,IF(L143="N",0,0.5))+1*IF(M143="J",1,IF(M143="N",0,0.5))+1*IF(N143="J",1,IF(N143="N",0,0.5))+1*IF(O143="J",1,IF(O143="N",0,0.5))+2*IF(P143="J",1,IF(P143="N",0,0.5))+3*IF(Q143="J",1,IF(Q143="N",0,0.5)))/19,0)))</f>
        <v/>
      </c>
      <c r="S143" s="7" t="n"/>
      <c r="T143" s="5" t="n"/>
    </row>
    <row r="144">
      <c r="A144" s="5" t="n"/>
      <c r="B144" s="5" t="n"/>
      <c r="C144" s="5" t="n"/>
      <c r="D144" s="5" t="n"/>
      <c r="E144" s="6" t="n"/>
      <c r="F144" s="5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>
        <f>IF(B144="","",IF(E144="","?",IF(E144&lt;=1250000,"J","N")))</f>
        <v/>
      </c>
      <c r="Q144" s="7">
        <f>IF(B144="","",IF(F144="","?",IF(AND(F144&gt;=90,F144&lt;=115),"J","N")))</f>
        <v/>
      </c>
      <c r="R144" s="7">
        <f>IF(B144="","",IF(OR(D144="Etagenwohnung",G144="N"),0,ROUND(100*(3*IF(H144="J",1,IF(H144="N",0,0.5))+3*IF(I144="J",1,IF(I144="N",0,0.5))+2*IF(J144="J",1,IF(J144="N",0,0.5))+2*IF(K144="J",1,IF(K144="N",0,0.5))+1*IF(L144="J",1,IF(L144="N",0,0.5))+1*IF(M144="J",1,IF(M144="N",0,0.5))+1*IF(N144="J",1,IF(N144="N",0,0.5))+1*IF(O144="J",1,IF(O144="N",0,0.5))+2*IF(P144="J",1,IF(P144="N",0,0.5))+3*IF(Q144="J",1,IF(Q144="N",0,0.5)))/19,0)))</f>
        <v/>
      </c>
      <c r="S144" s="7" t="n"/>
      <c r="T144" s="5" t="n"/>
    </row>
    <row r="145">
      <c r="A145" s="5" t="n"/>
      <c r="B145" s="5" t="n"/>
      <c r="C145" s="5" t="n"/>
      <c r="D145" s="5" t="n"/>
      <c r="E145" s="6" t="n"/>
      <c r="F145" s="5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>
        <f>IF(B145="","",IF(E145="","?",IF(E145&lt;=1250000,"J","N")))</f>
        <v/>
      </c>
      <c r="Q145" s="7">
        <f>IF(B145="","",IF(F145="","?",IF(AND(F145&gt;=90,F145&lt;=115),"J","N")))</f>
        <v/>
      </c>
      <c r="R145" s="7">
        <f>IF(B145="","",IF(OR(D145="Etagenwohnung",G145="N"),0,ROUND(100*(3*IF(H145="J",1,IF(H145="N",0,0.5))+3*IF(I145="J",1,IF(I145="N",0,0.5))+2*IF(J145="J",1,IF(J145="N",0,0.5))+2*IF(K145="J",1,IF(K145="N",0,0.5))+1*IF(L145="J",1,IF(L145="N",0,0.5))+1*IF(M145="J",1,IF(M145="N",0,0.5))+1*IF(N145="J",1,IF(N145="N",0,0.5))+1*IF(O145="J",1,IF(O145="N",0,0.5))+2*IF(P145="J",1,IF(P145="N",0,0.5))+3*IF(Q145="J",1,IF(Q145="N",0,0.5)))/19,0)))</f>
        <v/>
      </c>
      <c r="S145" s="7" t="n"/>
      <c r="T145" s="5" t="n"/>
    </row>
    <row r="146">
      <c r="A146" s="5" t="n"/>
      <c r="B146" s="5" t="n"/>
      <c r="C146" s="5" t="n"/>
      <c r="D146" s="5" t="n"/>
      <c r="E146" s="6" t="n"/>
      <c r="F146" s="5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>
        <f>IF(B146="","",IF(E146="","?",IF(E146&lt;=1250000,"J","N")))</f>
        <v/>
      </c>
      <c r="Q146" s="7">
        <f>IF(B146="","",IF(F146="","?",IF(AND(F146&gt;=90,F146&lt;=115),"J","N")))</f>
        <v/>
      </c>
      <c r="R146" s="7">
        <f>IF(B146="","",IF(OR(D146="Etagenwohnung",G146="N"),0,ROUND(100*(3*IF(H146="J",1,IF(H146="N",0,0.5))+3*IF(I146="J",1,IF(I146="N",0,0.5))+2*IF(J146="J",1,IF(J146="N",0,0.5))+2*IF(K146="J",1,IF(K146="N",0,0.5))+1*IF(L146="J",1,IF(L146="N",0,0.5))+1*IF(M146="J",1,IF(M146="N",0,0.5))+1*IF(N146="J",1,IF(N146="N",0,0.5))+1*IF(O146="J",1,IF(O146="N",0,0.5))+2*IF(P146="J",1,IF(P146="N",0,0.5))+3*IF(Q146="J",1,IF(Q146="N",0,0.5)))/19,0)))</f>
        <v/>
      </c>
      <c r="S146" s="7" t="n"/>
      <c r="T146" s="5" t="n"/>
    </row>
    <row r="147">
      <c r="A147" s="5" t="n"/>
      <c r="B147" s="5" t="n"/>
      <c r="C147" s="5" t="n"/>
      <c r="D147" s="5" t="n"/>
      <c r="E147" s="6" t="n"/>
      <c r="F147" s="5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>
        <f>IF(B147="","",IF(E147="","?",IF(E147&lt;=1250000,"J","N")))</f>
        <v/>
      </c>
      <c r="Q147" s="7">
        <f>IF(B147="","",IF(F147="","?",IF(AND(F147&gt;=90,F147&lt;=115),"J","N")))</f>
        <v/>
      </c>
      <c r="R147" s="7">
        <f>IF(B147="","",IF(OR(D147="Etagenwohnung",G147="N"),0,ROUND(100*(3*IF(H147="J",1,IF(H147="N",0,0.5))+3*IF(I147="J",1,IF(I147="N",0,0.5))+2*IF(J147="J",1,IF(J147="N",0,0.5))+2*IF(K147="J",1,IF(K147="N",0,0.5))+1*IF(L147="J",1,IF(L147="N",0,0.5))+1*IF(M147="J",1,IF(M147="N",0,0.5))+1*IF(N147="J",1,IF(N147="N",0,0.5))+1*IF(O147="J",1,IF(O147="N",0,0.5))+2*IF(P147="J",1,IF(P147="N",0,0.5))+3*IF(Q147="J",1,IF(Q147="N",0,0.5)))/19,0)))</f>
        <v/>
      </c>
      <c r="S147" s="7" t="n"/>
      <c r="T147" s="5" t="n"/>
    </row>
    <row r="148">
      <c r="A148" s="5" t="n"/>
      <c r="B148" s="5" t="n"/>
      <c r="C148" s="5" t="n"/>
      <c r="D148" s="5" t="n"/>
      <c r="E148" s="6" t="n"/>
      <c r="F148" s="5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>
        <f>IF(B148="","",IF(E148="","?",IF(E148&lt;=1250000,"J","N")))</f>
        <v/>
      </c>
      <c r="Q148" s="7">
        <f>IF(B148="","",IF(F148="","?",IF(AND(F148&gt;=90,F148&lt;=115),"J","N")))</f>
        <v/>
      </c>
      <c r="R148" s="7">
        <f>IF(B148="","",IF(OR(D148="Etagenwohnung",G148="N"),0,ROUND(100*(3*IF(H148="J",1,IF(H148="N",0,0.5))+3*IF(I148="J",1,IF(I148="N",0,0.5))+2*IF(J148="J",1,IF(J148="N",0,0.5))+2*IF(K148="J",1,IF(K148="N",0,0.5))+1*IF(L148="J",1,IF(L148="N",0,0.5))+1*IF(M148="J",1,IF(M148="N",0,0.5))+1*IF(N148="J",1,IF(N148="N",0,0.5))+1*IF(O148="J",1,IF(O148="N",0,0.5))+2*IF(P148="J",1,IF(P148="N",0,0.5))+3*IF(Q148="J",1,IF(Q148="N",0,0.5)))/19,0)))</f>
        <v/>
      </c>
      <c r="S148" s="7" t="n"/>
      <c r="T148" s="5" t="n"/>
    </row>
    <row r="149">
      <c r="A149" s="5" t="n"/>
      <c r="B149" s="5" t="n"/>
      <c r="C149" s="5" t="n"/>
      <c r="D149" s="5" t="n"/>
      <c r="E149" s="6" t="n"/>
      <c r="F149" s="5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>
        <f>IF(B149="","",IF(E149="","?",IF(E149&lt;=1250000,"J","N")))</f>
        <v/>
      </c>
      <c r="Q149" s="7">
        <f>IF(B149="","",IF(F149="","?",IF(AND(F149&gt;=90,F149&lt;=115),"J","N")))</f>
        <v/>
      </c>
      <c r="R149" s="7">
        <f>IF(B149="","",IF(OR(D149="Etagenwohnung",G149="N"),0,ROUND(100*(3*IF(H149="J",1,IF(H149="N",0,0.5))+3*IF(I149="J",1,IF(I149="N",0,0.5))+2*IF(J149="J",1,IF(J149="N",0,0.5))+2*IF(K149="J",1,IF(K149="N",0,0.5))+1*IF(L149="J",1,IF(L149="N",0,0.5))+1*IF(M149="J",1,IF(M149="N",0,0.5))+1*IF(N149="J",1,IF(N149="N",0,0.5))+1*IF(O149="J",1,IF(O149="N",0,0.5))+2*IF(P149="J",1,IF(P149="N",0,0.5))+3*IF(Q149="J",1,IF(Q149="N",0,0.5)))/19,0)))</f>
        <v/>
      </c>
      <c r="S149" s="7" t="n"/>
      <c r="T149" s="5" t="n"/>
    </row>
    <row r="150">
      <c r="A150" s="5" t="n"/>
      <c r="B150" s="5" t="n"/>
      <c r="C150" s="5" t="n"/>
      <c r="D150" s="5" t="n"/>
      <c r="E150" s="6" t="n"/>
      <c r="F150" s="5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>
        <f>IF(B150="","",IF(E150="","?",IF(E150&lt;=1250000,"J","N")))</f>
        <v/>
      </c>
      <c r="Q150" s="7">
        <f>IF(B150="","",IF(F150="","?",IF(AND(F150&gt;=90,F150&lt;=115),"J","N")))</f>
        <v/>
      </c>
      <c r="R150" s="7">
        <f>IF(B150="","",IF(OR(D150="Etagenwohnung",G150="N"),0,ROUND(100*(3*IF(H150="J",1,IF(H150="N",0,0.5))+3*IF(I150="J",1,IF(I150="N",0,0.5))+2*IF(J150="J",1,IF(J150="N",0,0.5))+2*IF(K150="J",1,IF(K150="N",0,0.5))+1*IF(L150="J",1,IF(L150="N",0,0.5))+1*IF(M150="J",1,IF(M150="N",0,0.5))+1*IF(N150="J",1,IF(N150="N",0,0.5))+1*IF(O150="J",1,IF(O150="N",0,0.5))+2*IF(P150="J",1,IF(P150="N",0,0.5))+3*IF(Q150="J",1,IF(Q150="N",0,0.5)))/19,0)))</f>
        <v/>
      </c>
      <c r="S150" s="7" t="n"/>
      <c r="T150" s="5" t="n"/>
    </row>
    <row r="151">
      <c r="A151" s="5" t="n"/>
      <c r="B151" s="5" t="n"/>
      <c r="C151" s="5" t="n"/>
      <c r="D151" s="5" t="n"/>
      <c r="E151" s="6" t="n"/>
      <c r="F151" s="5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>
        <f>IF(B151="","",IF(E151="","?",IF(E151&lt;=1250000,"J","N")))</f>
        <v/>
      </c>
      <c r="Q151" s="7">
        <f>IF(B151="","",IF(F151="","?",IF(AND(F151&gt;=90,F151&lt;=115),"J","N")))</f>
        <v/>
      </c>
      <c r="R151" s="7">
        <f>IF(B151="","",IF(OR(D151="Etagenwohnung",G151="N"),0,ROUND(100*(3*IF(H151="J",1,IF(H151="N",0,0.5))+3*IF(I151="J",1,IF(I151="N",0,0.5))+2*IF(J151="J",1,IF(J151="N",0,0.5))+2*IF(K151="J",1,IF(K151="N",0,0.5))+1*IF(L151="J",1,IF(L151="N",0,0.5))+1*IF(M151="J",1,IF(M151="N",0,0.5))+1*IF(N151="J",1,IF(N151="N",0,0.5))+1*IF(O151="J",1,IF(O151="N",0,0.5))+2*IF(P151="J",1,IF(P151="N",0,0.5))+3*IF(Q151="J",1,IF(Q151="N",0,0.5)))/19,0)))</f>
        <v/>
      </c>
      <c r="S151" s="7" t="n"/>
      <c r="T151" s="5" t="n"/>
    </row>
    <row r="152">
      <c r="A152" s="5" t="n"/>
      <c r="B152" s="5" t="n"/>
      <c r="C152" s="5" t="n"/>
      <c r="D152" s="5" t="n"/>
      <c r="E152" s="6" t="n"/>
      <c r="F152" s="5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>
        <f>IF(B152="","",IF(E152="","?",IF(E152&lt;=1250000,"J","N")))</f>
        <v/>
      </c>
      <c r="Q152" s="7">
        <f>IF(B152="","",IF(F152="","?",IF(AND(F152&gt;=90,F152&lt;=115),"J","N")))</f>
        <v/>
      </c>
      <c r="R152" s="7">
        <f>IF(B152="","",IF(OR(D152="Etagenwohnung",G152="N"),0,ROUND(100*(3*IF(H152="J",1,IF(H152="N",0,0.5))+3*IF(I152="J",1,IF(I152="N",0,0.5))+2*IF(J152="J",1,IF(J152="N",0,0.5))+2*IF(K152="J",1,IF(K152="N",0,0.5))+1*IF(L152="J",1,IF(L152="N",0,0.5))+1*IF(M152="J",1,IF(M152="N",0,0.5))+1*IF(N152="J",1,IF(N152="N",0,0.5))+1*IF(O152="J",1,IF(O152="N",0,0.5))+2*IF(P152="J",1,IF(P152="N",0,0.5))+3*IF(Q152="J",1,IF(Q152="N",0,0.5)))/19,0)))</f>
        <v/>
      </c>
      <c r="S152" s="7" t="n"/>
      <c r="T152" s="5" t="n"/>
    </row>
    <row r="153">
      <c r="A153" s="5" t="n"/>
      <c r="B153" s="5" t="n"/>
      <c r="C153" s="5" t="n"/>
      <c r="D153" s="5" t="n"/>
      <c r="E153" s="6" t="n"/>
      <c r="F153" s="5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>
        <f>IF(B153="","",IF(E153="","?",IF(E153&lt;=1250000,"J","N")))</f>
        <v/>
      </c>
      <c r="Q153" s="7">
        <f>IF(B153="","",IF(F153="","?",IF(AND(F153&gt;=90,F153&lt;=115),"J","N")))</f>
        <v/>
      </c>
      <c r="R153" s="7">
        <f>IF(B153="","",IF(OR(D153="Etagenwohnung",G153="N"),0,ROUND(100*(3*IF(H153="J",1,IF(H153="N",0,0.5))+3*IF(I153="J",1,IF(I153="N",0,0.5))+2*IF(J153="J",1,IF(J153="N",0,0.5))+2*IF(K153="J",1,IF(K153="N",0,0.5))+1*IF(L153="J",1,IF(L153="N",0,0.5))+1*IF(M153="J",1,IF(M153="N",0,0.5))+1*IF(N153="J",1,IF(N153="N",0,0.5))+1*IF(O153="J",1,IF(O153="N",0,0.5))+2*IF(P153="J",1,IF(P153="N",0,0.5))+3*IF(Q153="J",1,IF(Q153="N",0,0.5)))/19,0)))</f>
        <v/>
      </c>
      <c r="S153" s="7" t="n"/>
      <c r="T153" s="5" t="n"/>
    </row>
    <row r="154">
      <c r="A154" s="5" t="n"/>
      <c r="B154" s="5" t="n"/>
      <c r="C154" s="5" t="n"/>
      <c r="D154" s="5" t="n"/>
      <c r="E154" s="6" t="n"/>
      <c r="F154" s="5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>
        <f>IF(B154="","",IF(E154="","?",IF(E154&lt;=1250000,"J","N")))</f>
        <v/>
      </c>
      <c r="Q154" s="7">
        <f>IF(B154="","",IF(F154="","?",IF(AND(F154&gt;=90,F154&lt;=115),"J","N")))</f>
        <v/>
      </c>
      <c r="R154" s="7">
        <f>IF(B154="","",IF(OR(D154="Etagenwohnung",G154="N"),0,ROUND(100*(3*IF(H154="J",1,IF(H154="N",0,0.5))+3*IF(I154="J",1,IF(I154="N",0,0.5))+2*IF(J154="J",1,IF(J154="N",0,0.5))+2*IF(K154="J",1,IF(K154="N",0,0.5))+1*IF(L154="J",1,IF(L154="N",0,0.5))+1*IF(M154="J",1,IF(M154="N",0,0.5))+1*IF(N154="J",1,IF(N154="N",0,0.5))+1*IF(O154="J",1,IF(O154="N",0,0.5))+2*IF(P154="J",1,IF(P154="N",0,0.5))+3*IF(Q154="J",1,IF(Q154="N",0,0.5)))/19,0)))</f>
        <v/>
      </c>
      <c r="S154" s="7" t="n"/>
      <c r="T154" s="5" t="n"/>
    </row>
    <row r="155">
      <c r="A155" s="5" t="n"/>
      <c r="B155" s="5" t="n"/>
      <c r="C155" s="5" t="n"/>
      <c r="D155" s="5" t="n"/>
      <c r="E155" s="6" t="n"/>
      <c r="F155" s="5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>
        <f>IF(B155="","",IF(E155="","?",IF(E155&lt;=1250000,"J","N")))</f>
        <v/>
      </c>
      <c r="Q155" s="7">
        <f>IF(B155="","",IF(F155="","?",IF(AND(F155&gt;=90,F155&lt;=115),"J","N")))</f>
        <v/>
      </c>
      <c r="R155" s="7">
        <f>IF(B155="","",IF(OR(D155="Etagenwohnung",G155="N"),0,ROUND(100*(3*IF(H155="J",1,IF(H155="N",0,0.5))+3*IF(I155="J",1,IF(I155="N",0,0.5))+2*IF(J155="J",1,IF(J155="N",0,0.5))+2*IF(K155="J",1,IF(K155="N",0,0.5))+1*IF(L155="J",1,IF(L155="N",0,0.5))+1*IF(M155="J",1,IF(M155="N",0,0.5))+1*IF(N155="J",1,IF(N155="N",0,0.5))+1*IF(O155="J",1,IF(O155="N",0,0.5))+2*IF(P155="J",1,IF(P155="N",0,0.5))+3*IF(Q155="J",1,IF(Q155="N",0,0.5)))/19,0)))</f>
        <v/>
      </c>
      <c r="S155" s="7" t="n"/>
      <c r="T155" s="5" t="n"/>
    </row>
    <row r="156">
      <c r="A156" s="5" t="n"/>
      <c r="B156" s="5" t="n"/>
      <c r="C156" s="5" t="n"/>
      <c r="D156" s="5" t="n"/>
      <c r="E156" s="6" t="n"/>
      <c r="F156" s="5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>
        <f>IF(B156="","",IF(E156="","?",IF(E156&lt;=1250000,"J","N")))</f>
        <v/>
      </c>
      <c r="Q156" s="7">
        <f>IF(B156="","",IF(F156="","?",IF(AND(F156&gt;=90,F156&lt;=115),"J","N")))</f>
        <v/>
      </c>
      <c r="R156" s="7">
        <f>IF(B156="","",IF(OR(D156="Etagenwohnung",G156="N"),0,ROUND(100*(3*IF(H156="J",1,IF(H156="N",0,0.5))+3*IF(I156="J",1,IF(I156="N",0,0.5))+2*IF(J156="J",1,IF(J156="N",0,0.5))+2*IF(K156="J",1,IF(K156="N",0,0.5))+1*IF(L156="J",1,IF(L156="N",0,0.5))+1*IF(M156="J",1,IF(M156="N",0,0.5))+1*IF(N156="J",1,IF(N156="N",0,0.5))+1*IF(O156="J",1,IF(O156="N",0,0.5))+2*IF(P156="J",1,IF(P156="N",0,0.5))+3*IF(Q156="J",1,IF(Q156="N",0,0.5)))/19,0)))</f>
        <v/>
      </c>
      <c r="S156" s="7" t="n"/>
      <c r="T156" s="5" t="n"/>
    </row>
    <row r="157">
      <c r="A157" s="5" t="n"/>
      <c r="B157" s="5" t="n"/>
      <c r="C157" s="5" t="n"/>
      <c r="D157" s="5" t="n"/>
      <c r="E157" s="6" t="n"/>
      <c r="F157" s="5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>
        <f>IF(B157="","",IF(E157="","?",IF(E157&lt;=1250000,"J","N")))</f>
        <v/>
      </c>
      <c r="Q157" s="7">
        <f>IF(B157="","",IF(F157="","?",IF(AND(F157&gt;=90,F157&lt;=115),"J","N")))</f>
        <v/>
      </c>
      <c r="R157" s="7">
        <f>IF(B157="","",IF(OR(D157="Etagenwohnung",G157="N"),0,ROUND(100*(3*IF(H157="J",1,IF(H157="N",0,0.5))+3*IF(I157="J",1,IF(I157="N",0,0.5))+2*IF(J157="J",1,IF(J157="N",0,0.5))+2*IF(K157="J",1,IF(K157="N",0,0.5))+1*IF(L157="J",1,IF(L157="N",0,0.5))+1*IF(M157="J",1,IF(M157="N",0,0.5))+1*IF(N157="J",1,IF(N157="N",0,0.5))+1*IF(O157="J",1,IF(O157="N",0,0.5))+2*IF(P157="J",1,IF(P157="N",0,0.5))+3*IF(Q157="J",1,IF(Q157="N",0,0.5)))/19,0)))</f>
        <v/>
      </c>
      <c r="S157" s="7" t="n"/>
      <c r="T157" s="5" t="n"/>
    </row>
    <row r="158">
      <c r="A158" s="5" t="n"/>
      <c r="B158" s="5" t="n"/>
      <c r="C158" s="5" t="n"/>
      <c r="D158" s="5" t="n"/>
      <c r="E158" s="6" t="n"/>
      <c r="F158" s="5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>
        <f>IF(B158="","",IF(E158="","?",IF(E158&lt;=1250000,"J","N")))</f>
        <v/>
      </c>
      <c r="Q158" s="7">
        <f>IF(B158="","",IF(F158="","?",IF(AND(F158&gt;=90,F158&lt;=115),"J","N")))</f>
        <v/>
      </c>
      <c r="R158" s="7">
        <f>IF(B158="","",IF(OR(D158="Etagenwohnung",G158="N"),0,ROUND(100*(3*IF(H158="J",1,IF(H158="N",0,0.5))+3*IF(I158="J",1,IF(I158="N",0,0.5))+2*IF(J158="J",1,IF(J158="N",0,0.5))+2*IF(K158="J",1,IF(K158="N",0,0.5))+1*IF(L158="J",1,IF(L158="N",0,0.5))+1*IF(M158="J",1,IF(M158="N",0,0.5))+1*IF(N158="J",1,IF(N158="N",0,0.5))+1*IF(O158="J",1,IF(O158="N",0,0.5))+2*IF(P158="J",1,IF(P158="N",0,0.5))+3*IF(Q158="J",1,IF(Q158="N",0,0.5)))/19,0)))</f>
        <v/>
      </c>
      <c r="S158" s="7" t="n"/>
      <c r="T158" s="5" t="n"/>
    </row>
    <row r="159">
      <c r="A159" s="5" t="n"/>
      <c r="B159" s="5" t="n"/>
      <c r="C159" s="5" t="n"/>
      <c r="D159" s="5" t="n"/>
      <c r="E159" s="6" t="n"/>
      <c r="F159" s="5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>
        <f>IF(B159="","",IF(E159="","?",IF(E159&lt;=1250000,"J","N")))</f>
        <v/>
      </c>
      <c r="Q159" s="7">
        <f>IF(B159="","",IF(F159="","?",IF(AND(F159&gt;=90,F159&lt;=115),"J","N")))</f>
        <v/>
      </c>
      <c r="R159" s="7">
        <f>IF(B159="","",IF(OR(D159="Etagenwohnung",G159="N"),0,ROUND(100*(3*IF(H159="J",1,IF(H159="N",0,0.5))+3*IF(I159="J",1,IF(I159="N",0,0.5))+2*IF(J159="J",1,IF(J159="N",0,0.5))+2*IF(K159="J",1,IF(K159="N",0,0.5))+1*IF(L159="J",1,IF(L159="N",0,0.5))+1*IF(M159="J",1,IF(M159="N",0,0.5))+1*IF(N159="J",1,IF(N159="N",0,0.5))+1*IF(O159="J",1,IF(O159="N",0,0.5))+2*IF(P159="J",1,IF(P159="N",0,0.5))+3*IF(Q159="J",1,IF(Q159="N",0,0.5)))/19,0)))</f>
        <v/>
      </c>
      <c r="S159" s="7" t="n"/>
      <c r="T159" s="5" t="n"/>
    </row>
    <row r="160">
      <c r="A160" s="5" t="n"/>
      <c r="B160" s="5" t="n"/>
      <c r="C160" s="5" t="n"/>
      <c r="D160" s="5" t="n"/>
      <c r="E160" s="6" t="n"/>
      <c r="F160" s="5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>
        <f>IF(B160="","",IF(E160="","?",IF(E160&lt;=1250000,"J","N")))</f>
        <v/>
      </c>
      <c r="Q160" s="7">
        <f>IF(B160="","",IF(F160="","?",IF(AND(F160&gt;=90,F160&lt;=115),"J","N")))</f>
        <v/>
      </c>
      <c r="R160" s="7">
        <f>IF(B160="","",IF(OR(D160="Etagenwohnung",G160="N"),0,ROUND(100*(3*IF(H160="J",1,IF(H160="N",0,0.5))+3*IF(I160="J",1,IF(I160="N",0,0.5))+2*IF(J160="J",1,IF(J160="N",0,0.5))+2*IF(K160="J",1,IF(K160="N",0,0.5))+1*IF(L160="J",1,IF(L160="N",0,0.5))+1*IF(M160="J",1,IF(M160="N",0,0.5))+1*IF(N160="J",1,IF(N160="N",0,0.5))+1*IF(O160="J",1,IF(O160="N",0,0.5))+2*IF(P160="J",1,IF(P160="N",0,0.5))+3*IF(Q160="J",1,IF(Q160="N",0,0.5)))/19,0)))</f>
        <v/>
      </c>
      <c r="S160" s="7" t="n"/>
      <c r="T160" s="5" t="n"/>
    </row>
    <row r="161">
      <c r="A161" s="5" t="n"/>
      <c r="B161" s="5" t="n"/>
      <c r="C161" s="5" t="n"/>
      <c r="D161" s="5" t="n"/>
      <c r="E161" s="6" t="n"/>
      <c r="F161" s="5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>
        <f>IF(B161="","",IF(E161="","?",IF(E161&lt;=1250000,"J","N")))</f>
        <v/>
      </c>
      <c r="Q161" s="7">
        <f>IF(B161="","",IF(F161="","?",IF(AND(F161&gt;=90,F161&lt;=115),"J","N")))</f>
        <v/>
      </c>
      <c r="R161" s="7">
        <f>IF(B161="","",IF(OR(D161="Etagenwohnung",G161="N"),0,ROUND(100*(3*IF(H161="J",1,IF(H161="N",0,0.5))+3*IF(I161="J",1,IF(I161="N",0,0.5))+2*IF(J161="J",1,IF(J161="N",0,0.5))+2*IF(K161="J",1,IF(K161="N",0,0.5))+1*IF(L161="J",1,IF(L161="N",0,0.5))+1*IF(M161="J",1,IF(M161="N",0,0.5))+1*IF(N161="J",1,IF(N161="N",0,0.5))+1*IF(O161="J",1,IF(O161="N",0,0.5))+2*IF(P161="J",1,IF(P161="N",0,0.5))+3*IF(Q161="J",1,IF(Q161="N",0,0.5)))/19,0)))</f>
        <v/>
      </c>
      <c r="S161" s="7" t="n"/>
      <c r="T161" s="5" t="n"/>
    </row>
    <row r="162">
      <c r="A162" s="5" t="n"/>
      <c r="B162" s="5" t="n"/>
      <c r="C162" s="5" t="n"/>
      <c r="D162" s="5" t="n"/>
      <c r="E162" s="6" t="n"/>
      <c r="F162" s="5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>
        <f>IF(B162="","",IF(E162="","?",IF(E162&lt;=1250000,"J","N")))</f>
        <v/>
      </c>
      <c r="Q162" s="7">
        <f>IF(B162="","",IF(F162="","?",IF(AND(F162&gt;=90,F162&lt;=115),"J","N")))</f>
        <v/>
      </c>
      <c r="R162" s="7">
        <f>IF(B162="","",IF(OR(D162="Etagenwohnung",G162="N"),0,ROUND(100*(3*IF(H162="J",1,IF(H162="N",0,0.5))+3*IF(I162="J",1,IF(I162="N",0,0.5))+2*IF(J162="J",1,IF(J162="N",0,0.5))+2*IF(K162="J",1,IF(K162="N",0,0.5))+1*IF(L162="J",1,IF(L162="N",0,0.5))+1*IF(M162="J",1,IF(M162="N",0,0.5))+1*IF(N162="J",1,IF(N162="N",0,0.5))+1*IF(O162="J",1,IF(O162="N",0,0.5))+2*IF(P162="J",1,IF(P162="N",0,0.5))+3*IF(Q162="J",1,IF(Q162="N",0,0.5)))/19,0)))</f>
        <v/>
      </c>
      <c r="S162" s="7" t="n"/>
      <c r="T162" s="5" t="n"/>
    </row>
    <row r="163">
      <c r="A163" s="5" t="n"/>
      <c r="B163" s="5" t="n"/>
      <c r="C163" s="5" t="n"/>
      <c r="D163" s="5" t="n"/>
      <c r="E163" s="6" t="n"/>
      <c r="F163" s="5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>
        <f>IF(B163="","",IF(E163="","?",IF(E163&lt;=1250000,"J","N")))</f>
        <v/>
      </c>
      <c r="Q163" s="7">
        <f>IF(B163="","",IF(F163="","?",IF(AND(F163&gt;=90,F163&lt;=115),"J","N")))</f>
        <v/>
      </c>
      <c r="R163" s="7">
        <f>IF(B163="","",IF(OR(D163="Etagenwohnung",G163="N"),0,ROUND(100*(3*IF(H163="J",1,IF(H163="N",0,0.5))+3*IF(I163="J",1,IF(I163="N",0,0.5))+2*IF(J163="J",1,IF(J163="N",0,0.5))+2*IF(K163="J",1,IF(K163="N",0,0.5))+1*IF(L163="J",1,IF(L163="N",0,0.5))+1*IF(M163="J",1,IF(M163="N",0,0.5))+1*IF(N163="J",1,IF(N163="N",0,0.5))+1*IF(O163="J",1,IF(O163="N",0,0.5))+2*IF(P163="J",1,IF(P163="N",0,0.5))+3*IF(Q163="J",1,IF(Q163="N",0,0.5)))/19,0)))</f>
        <v/>
      </c>
      <c r="S163" s="7" t="n"/>
      <c r="T163" s="5" t="n"/>
    </row>
    <row r="164">
      <c r="A164" s="5" t="n"/>
      <c r="B164" s="5" t="n"/>
      <c r="C164" s="5" t="n"/>
      <c r="D164" s="5" t="n"/>
      <c r="E164" s="6" t="n"/>
      <c r="F164" s="5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>
        <f>IF(B164="","",IF(E164="","?",IF(E164&lt;=1250000,"J","N")))</f>
        <v/>
      </c>
      <c r="Q164" s="7">
        <f>IF(B164="","",IF(F164="","?",IF(AND(F164&gt;=90,F164&lt;=115),"J","N")))</f>
        <v/>
      </c>
      <c r="R164" s="7">
        <f>IF(B164="","",IF(OR(D164="Etagenwohnung",G164="N"),0,ROUND(100*(3*IF(H164="J",1,IF(H164="N",0,0.5))+3*IF(I164="J",1,IF(I164="N",0,0.5))+2*IF(J164="J",1,IF(J164="N",0,0.5))+2*IF(K164="J",1,IF(K164="N",0,0.5))+1*IF(L164="J",1,IF(L164="N",0,0.5))+1*IF(M164="J",1,IF(M164="N",0,0.5))+1*IF(N164="J",1,IF(N164="N",0,0.5))+1*IF(O164="J",1,IF(O164="N",0,0.5))+2*IF(P164="J",1,IF(P164="N",0,0.5))+3*IF(Q164="J",1,IF(Q164="N",0,0.5)))/19,0)))</f>
        <v/>
      </c>
      <c r="S164" s="7" t="n"/>
      <c r="T164" s="5" t="n"/>
    </row>
    <row r="165">
      <c r="A165" s="5" t="n"/>
      <c r="B165" s="5" t="n"/>
      <c r="C165" s="5" t="n"/>
      <c r="D165" s="5" t="n"/>
      <c r="E165" s="6" t="n"/>
      <c r="F165" s="5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>
        <f>IF(B165="","",IF(E165="","?",IF(E165&lt;=1250000,"J","N")))</f>
        <v/>
      </c>
      <c r="Q165" s="7">
        <f>IF(B165="","",IF(F165="","?",IF(AND(F165&gt;=90,F165&lt;=115),"J","N")))</f>
        <v/>
      </c>
      <c r="R165" s="7">
        <f>IF(B165="","",IF(OR(D165="Etagenwohnung",G165="N"),0,ROUND(100*(3*IF(H165="J",1,IF(H165="N",0,0.5))+3*IF(I165="J",1,IF(I165="N",0,0.5))+2*IF(J165="J",1,IF(J165="N",0,0.5))+2*IF(K165="J",1,IF(K165="N",0,0.5))+1*IF(L165="J",1,IF(L165="N",0,0.5))+1*IF(M165="J",1,IF(M165="N",0,0.5))+1*IF(N165="J",1,IF(N165="N",0,0.5))+1*IF(O165="J",1,IF(O165="N",0,0.5))+2*IF(P165="J",1,IF(P165="N",0,0.5))+3*IF(Q165="J",1,IF(Q165="N",0,0.5)))/19,0)))</f>
        <v/>
      </c>
      <c r="S165" s="7" t="n"/>
      <c r="T165" s="5" t="n"/>
    </row>
    <row r="166">
      <c r="A166" s="5" t="n"/>
      <c r="B166" s="5" t="n"/>
      <c r="C166" s="5" t="n"/>
      <c r="D166" s="5" t="n"/>
      <c r="E166" s="6" t="n"/>
      <c r="F166" s="5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>
        <f>IF(B166="","",IF(E166="","?",IF(E166&lt;=1250000,"J","N")))</f>
        <v/>
      </c>
      <c r="Q166" s="7">
        <f>IF(B166="","",IF(F166="","?",IF(AND(F166&gt;=90,F166&lt;=115),"J","N")))</f>
        <v/>
      </c>
      <c r="R166" s="7">
        <f>IF(B166="","",IF(OR(D166="Etagenwohnung",G166="N"),0,ROUND(100*(3*IF(H166="J",1,IF(H166="N",0,0.5))+3*IF(I166="J",1,IF(I166="N",0,0.5))+2*IF(J166="J",1,IF(J166="N",0,0.5))+2*IF(K166="J",1,IF(K166="N",0,0.5))+1*IF(L166="J",1,IF(L166="N",0,0.5))+1*IF(M166="J",1,IF(M166="N",0,0.5))+1*IF(N166="J",1,IF(N166="N",0,0.5))+1*IF(O166="J",1,IF(O166="N",0,0.5))+2*IF(P166="J",1,IF(P166="N",0,0.5))+3*IF(Q166="J",1,IF(Q166="N",0,0.5)))/19,0)))</f>
        <v/>
      </c>
      <c r="S166" s="7" t="n"/>
      <c r="T166" s="5" t="n"/>
    </row>
    <row r="167">
      <c r="A167" s="5" t="n"/>
      <c r="B167" s="5" t="n"/>
      <c r="C167" s="5" t="n"/>
      <c r="D167" s="5" t="n"/>
      <c r="E167" s="6" t="n"/>
      <c r="F167" s="5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>
        <f>IF(B167="","",IF(E167="","?",IF(E167&lt;=1250000,"J","N")))</f>
        <v/>
      </c>
      <c r="Q167" s="7">
        <f>IF(B167="","",IF(F167="","?",IF(AND(F167&gt;=90,F167&lt;=115),"J","N")))</f>
        <v/>
      </c>
      <c r="R167" s="7">
        <f>IF(B167="","",IF(OR(D167="Etagenwohnung",G167="N"),0,ROUND(100*(3*IF(H167="J",1,IF(H167="N",0,0.5))+3*IF(I167="J",1,IF(I167="N",0,0.5))+2*IF(J167="J",1,IF(J167="N",0,0.5))+2*IF(K167="J",1,IF(K167="N",0,0.5))+1*IF(L167="J",1,IF(L167="N",0,0.5))+1*IF(M167="J",1,IF(M167="N",0,0.5))+1*IF(N167="J",1,IF(N167="N",0,0.5))+1*IF(O167="J",1,IF(O167="N",0,0.5))+2*IF(P167="J",1,IF(P167="N",0,0.5))+3*IF(Q167="J",1,IF(Q167="N",0,0.5)))/19,0)))</f>
        <v/>
      </c>
      <c r="S167" s="7" t="n"/>
      <c r="T167" s="5" t="n"/>
    </row>
    <row r="168">
      <c r="A168" s="5" t="n"/>
      <c r="B168" s="5" t="n"/>
      <c r="C168" s="5" t="n"/>
      <c r="D168" s="5" t="n"/>
      <c r="E168" s="6" t="n"/>
      <c r="F168" s="5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>
        <f>IF(B168="","",IF(E168="","?",IF(E168&lt;=1250000,"J","N")))</f>
        <v/>
      </c>
      <c r="Q168" s="7">
        <f>IF(B168="","",IF(F168="","?",IF(AND(F168&gt;=90,F168&lt;=115),"J","N")))</f>
        <v/>
      </c>
      <c r="R168" s="7">
        <f>IF(B168="","",IF(OR(D168="Etagenwohnung",G168="N"),0,ROUND(100*(3*IF(H168="J",1,IF(H168="N",0,0.5))+3*IF(I168="J",1,IF(I168="N",0,0.5))+2*IF(J168="J",1,IF(J168="N",0,0.5))+2*IF(K168="J",1,IF(K168="N",0,0.5))+1*IF(L168="J",1,IF(L168="N",0,0.5))+1*IF(M168="J",1,IF(M168="N",0,0.5))+1*IF(N168="J",1,IF(N168="N",0,0.5))+1*IF(O168="J",1,IF(O168="N",0,0.5))+2*IF(P168="J",1,IF(P168="N",0,0.5))+3*IF(Q168="J",1,IF(Q168="N",0,0.5)))/19,0)))</f>
        <v/>
      </c>
      <c r="S168" s="7" t="n"/>
      <c r="T168" s="5" t="n"/>
    </row>
    <row r="169">
      <c r="A169" s="5" t="n"/>
      <c r="B169" s="5" t="n"/>
      <c r="C169" s="5" t="n"/>
      <c r="D169" s="5" t="n"/>
      <c r="E169" s="6" t="n"/>
      <c r="F169" s="5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>
        <f>IF(B169="","",IF(E169="","?",IF(E169&lt;=1250000,"J","N")))</f>
        <v/>
      </c>
      <c r="Q169" s="7">
        <f>IF(B169="","",IF(F169="","?",IF(AND(F169&gt;=90,F169&lt;=115),"J","N")))</f>
        <v/>
      </c>
      <c r="R169" s="7">
        <f>IF(B169="","",IF(OR(D169="Etagenwohnung",G169="N"),0,ROUND(100*(3*IF(H169="J",1,IF(H169="N",0,0.5))+3*IF(I169="J",1,IF(I169="N",0,0.5))+2*IF(J169="J",1,IF(J169="N",0,0.5))+2*IF(K169="J",1,IF(K169="N",0,0.5))+1*IF(L169="J",1,IF(L169="N",0,0.5))+1*IF(M169="J",1,IF(M169="N",0,0.5))+1*IF(N169="J",1,IF(N169="N",0,0.5))+1*IF(O169="J",1,IF(O169="N",0,0.5))+2*IF(P169="J",1,IF(P169="N",0,0.5))+3*IF(Q169="J",1,IF(Q169="N",0,0.5)))/19,0)))</f>
        <v/>
      </c>
      <c r="S169" s="7" t="n"/>
      <c r="T169" s="5" t="n"/>
    </row>
    <row r="170">
      <c r="A170" s="5" t="n"/>
      <c r="B170" s="5" t="n"/>
      <c r="C170" s="5" t="n"/>
      <c r="D170" s="5" t="n"/>
      <c r="E170" s="6" t="n"/>
      <c r="F170" s="5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>
        <f>IF(B170="","",IF(E170="","?",IF(E170&lt;=1250000,"J","N")))</f>
        <v/>
      </c>
      <c r="Q170" s="7">
        <f>IF(B170="","",IF(F170="","?",IF(AND(F170&gt;=90,F170&lt;=115),"J","N")))</f>
        <v/>
      </c>
      <c r="R170" s="7">
        <f>IF(B170="","",IF(OR(D170="Etagenwohnung",G170="N"),0,ROUND(100*(3*IF(H170="J",1,IF(H170="N",0,0.5))+3*IF(I170="J",1,IF(I170="N",0,0.5))+2*IF(J170="J",1,IF(J170="N",0,0.5))+2*IF(K170="J",1,IF(K170="N",0,0.5))+1*IF(L170="J",1,IF(L170="N",0,0.5))+1*IF(M170="J",1,IF(M170="N",0,0.5))+1*IF(N170="J",1,IF(N170="N",0,0.5))+1*IF(O170="J",1,IF(O170="N",0,0.5))+2*IF(P170="J",1,IF(P170="N",0,0.5))+3*IF(Q170="J",1,IF(Q170="N",0,0.5)))/19,0)))</f>
        <v/>
      </c>
      <c r="S170" s="7" t="n"/>
      <c r="T170" s="5" t="n"/>
    </row>
    <row r="171">
      <c r="A171" s="5" t="n"/>
      <c r="B171" s="5" t="n"/>
      <c r="C171" s="5" t="n"/>
      <c r="D171" s="5" t="n"/>
      <c r="E171" s="6" t="n"/>
      <c r="F171" s="5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>
        <f>IF(B171="","",IF(E171="","?",IF(E171&lt;=1250000,"J","N")))</f>
        <v/>
      </c>
      <c r="Q171" s="7">
        <f>IF(B171="","",IF(F171="","?",IF(AND(F171&gt;=90,F171&lt;=115),"J","N")))</f>
        <v/>
      </c>
      <c r="R171" s="7">
        <f>IF(B171="","",IF(OR(D171="Etagenwohnung",G171="N"),0,ROUND(100*(3*IF(H171="J",1,IF(H171="N",0,0.5))+3*IF(I171="J",1,IF(I171="N",0,0.5))+2*IF(J171="J",1,IF(J171="N",0,0.5))+2*IF(K171="J",1,IF(K171="N",0,0.5))+1*IF(L171="J",1,IF(L171="N",0,0.5))+1*IF(M171="J",1,IF(M171="N",0,0.5))+1*IF(N171="J",1,IF(N171="N",0,0.5))+1*IF(O171="J",1,IF(O171="N",0,0.5))+2*IF(P171="J",1,IF(P171="N",0,0.5))+3*IF(Q171="J",1,IF(Q171="N",0,0.5)))/19,0)))</f>
        <v/>
      </c>
      <c r="S171" s="7" t="n"/>
      <c r="T171" s="5" t="n"/>
    </row>
    <row r="172">
      <c r="A172" s="5" t="n"/>
      <c r="B172" s="5" t="n"/>
      <c r="C172" s="5" t="n"/>
      <c r="D172" s="5" t="n"/>
      <c r="E172" s="6" t="n"/>
      <c r="F172" s="5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>
        <f>IF(B172="","",IF(E172="","?",IF(E172&lt;=1250000,"J","N")))</f>
        <v/>
      </c>
      <c r="Q172" s="7">
        <f>IF(B172="","",IF(F172="","?",IF(AND(F172&gt;=90,F172&lt;=115),"J","N")))</f>
        <v/>
      </c>
      <c r="R172" s="7">
        <f>IF(B172="","",IF(OR(D172="Etagenwohnung",G172="N"),0,ROUND(100*(3*IF(H172="J",1,IF(H172="N",0,0.5))+3*IF(I172="J",1,IF(I172="N",0,0.5))+2*IF(J172="J",1,IF(J172="N",0,0.5))+2*IF(K172="J",1,IF(K172="N",0,0.5))+1*IF(L172="J",1,IF(L172="N",0,0.5))+1*IF(M172="J",1,IF(M172="N",0,0.5))+1*IF(N172="J",1,IF(N172="N",0,0.5))+1*IF(O172="J",1,IF(O172="N",0,0.5))+2*IF(P172="J",1,IF(P172="N",0,0.5))+3*IF(Q172="J",1,IF(Q172="N",0,0.5)))/19,0)))</f>
        <v/>
      </c>
      <c r="S172" s="7" t="n"/>
      <c r="T172" s="5" t="n"/>
    </row>
    <row r="173">
      <c r="A173" s="5" t="n"/>
      <c r="B173" s="5" t="n"/>
      <c r="C173" s="5" t="n"/>
      <c r="D173" s="5" t="n"/>
      <c r="E173" s="6" t="n"/>
      <c r="F173" s="5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>
        <f>IF(B173="","",IF(E173="","?",IF(E173&lt;=1250000,"J","N")))</f>
        <v/>
      </c>
      <c r="Q173" s="7">
        <f>IF(B173="","",IF(F173="","?",IF(AND(F173&gt;=90,F173&lt;=115),"J","N")))</f>
        <v/>
      </c>
      <c r="R173" s="7">
        <f>IF(B173="","",IF(OR(D173="Etagenwohnung",G173="N"),0,ROUND(100*(3*IF(H173="J",1,IF(H173="N",0,0.5))+3*IF(I173="J",1,IF(I173="N",0,0.5))+2*IF(J173="J",1,IF(J173="N",0,0.5))+2*IF(K173="J",1,IF(K173="N",0,0.5))+1*IF(L173="J",1,IF(L173="N",0,0.5))+1*IF(M173="J",1,IF(M173="N",0,0.5))+1*IF(N173="J",1,IF(N173="N",0,0.5))+1*IF(O173="J",1,IF(O173="N",0,0.5))+2*IF(P173="J",1,IF(P173="N",0,0.5))+3*IF(Q173="J",1,IF(Q173="N",0,0.5)))/19,0)))</f>
        <v/>
      </c>
      <c r="S173" s="7" t="n"/>
      <c r="T173" s="5" t="n"/>
    </row>
    <row r="174">
      <c r="A174" s="5" t="n"/>
      <c r="B174" s="5" t="n"/>
      <c r="C174" s="5" t="n"/>
      <c r="D174" s="5" t="n"/>
      <c r="E174" s="6" t="n"/>
      <c r="F174" s="5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>
        <f>IF(B174="","",IF(E174="","?",IF(E174&lt;=1250000,"J","N")))</f>
        <v/>
      </c>
      <c r="Q174" s="7">
        <f>IF(B174="","",IF(F174="","?",IF(AND(F174&gt;=90,F174&lt;=115),"J","N")))</f>
        <v/>
      </c>
      <c r="R174" s="7">
        <f>IF(B174="","",IF(OR(D174="Etagenwohnung",G174="N"),0,ROUND(100*(3*IF(H174="J",1,IF(H174="N",0,0.5))+3*IF(I174="J",1,IF(I174="N",0,0.5))+2*IF(J174="J",1,IF(J174="N",0,0.5))+2*IF(K174="J",1,IF(K174="N",0,0.5))+1*IF(L174="J",1,IF(L174="N",0,0.5))+1*IF(M174="J",1,IF(M174="N",0,0.5))+1*IF(N174="J",1,IF(N174="N",0,0.5))+1*IF(O174="J",1,IF(O174="N",0,0.5))+2*IF(P174="J",1,IF(P174="N",0,0.5))+3*IF(Q174="J",1,IF(Q174="N",0,0.5)))/19,0)))</f>
        <v/>
      </c>
      <c r="S174" s="7" t="n"/>
      <c r="T174" s="5" t="n"/>
    </row>
    <row r="175">
      <c r="A175" s="5" t="n"/>
      <c r="B175" s="5" t="n"/>
      <c r="C175" s="5" t="n"/>
      <c r="D175" s="5" t="n"/>
      <c r="E175" s="6" t="n"/>
      <c r="F175" s="5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>
        <f>IF(B175="","",IF(E175="","?",IF(E175&lt;=1250000,"J","N")))</f>
        <v/>
      </c>
      <c r="Q175" s="7">
        <f>IF(B175="","",IF(F175="","?",IF(AND(F175&gt;=90,F175&lt;=115),"J","N")))</f>
        <v/>
      </c>
      <c r="R175" s="7">
        <f>IF(B175="","",IF(OR(D175="Etagenwohnung",G175="N"),0,ROUND(100*(3*IF(H175="J",1,IF(H175="N",0,0.5))+3*IF(I175="J",1,IF(I175="N",0,0.5))+2*IF(J175="J",1,IF(J175="N",0,0.5))+2*IF(K175="J",1,IF(K175="N",0,0.5))+1*IF(L175="J",1,IF(L175="N",0,0.5))+1*IF(M175="J",1,IF(M175="N",0,0.5))+1*IF(N175="J",1,IF(N175="N",0,0.5))+1*IF(O175="J",1,IF(O175="N",0,0.5))+2*IF(P175="J",1,IF(P175="N",0,0.5))+3*IF(Q175="J",1,IF(Q175="N",0,0.5)))/19,0)))</f>
        <v/>
      </c>
      <c r="S175" s="7" t="n"/>
      <c r="T175" s="5" t="n"/>
    </row>
    <row r="176">
      <c r="A176" s="5" t="n"/>
      <c r="B176" s="5" t="n"/>
      <c r="C176" s="5" t="n"/>
      <c r="D176" s="5" t="n"/>
      <c r="E176" s="6" t="n"/>
      <c r="F176" s="5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>
        <f>IF(B176="","",IF(E176="","?",IF(E176&lt;=1250000,"J","N")))</f>
        <v/>
      </c>
      <c r="Q176" s="7">
        <f>IF(B176="","",IF(F176="","?",IF(AND(F176&gt;=90,F176&lt;=115),"J","N")))</f>
        <v/>
      </c>
      <c r="R176" s="7">
        <f>IF(B176="","",IF(OR(D176="Etagenwohnung",G176="N"),0,ROUND(100*(3*IF(H176="J",1,IF(H176="N",0,0.5))+3*IF(I176="J",1,IF(I176="N",0,0.5))+2*IF(J176="J",1,IF(J176="N",0,0.5))+2*IF(K176="J",1,IF(K176="N",0,0.5))+1*IF(L176="J",1,IF(L176="N",0,0.5))+1*IF(M176="J",1,IF(M176="N",0,0.5))+1*IF(N176="J",1,IF(N176="N",0,0.5))+1*IF(O176="J",1,IF(O176="N",0,0.5))+2*IF(P176="J",1,IF(P176="N",0,0.5))+3*IF(Q176="J",1,IF(Q176="N",0,0.5)))/19,0)))</f>
        <v/>
      </c>
      <c r="S176" s="7" t="n"/>
      <c r="T176" s="5" t="n"/>
    </row>
    <row r="177">
      <c r="A177" s="5" t="n"/>
      <c r="B177" s="5" t="n"/>
      <c r="C177" s="5" t="n"/>
      <c r="D177" s="5" t="n"/>
      <c r="E177" s="6" t="n"/>
      <c r="F177" s="5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>
        <f>IF(B177="","",IF(E177="","?",IF(E177&lt;=1250000,"J","N")))</f>
        <v/>
      </c>
      <c r="Q177" s="7">
        <f>IF(B177="","",IF(F177="","?",IF(AND(F177&gt;=90,F177&lt;=115),"J","N")))</f>
        <v/>
      </c>
      <c r="R177" s="7">
        <f>IF(B177="","",IF(OR(D177="Etagenwohnung",G177="N"),0,ROUND(100*(3*IF(H177="J",1,IF(H177="N",0,0.5))+3*IF(I177="J",1,IF(I177="N",0,0.5))+2*IF(J177="J",1,IF(J177="N",0,0.5))+2*IF(K177="J",1,IF(K177="N",0,0.5))+1*IF(L177="J",1,IF(L177="N",0,0.5))+1*IF(M177="J",1,IF(M177="N",0,0.5))+1*IF(N177="J",1,IF(N177="N",0,0.5))+1*IF(O177="J",1,IF(O177="N",0,0.5))+2*IF(P177="J",1,IF(P177="N",0,0.5))+3*IF(Q177="J",1,IF(Q177="N",0,0.5)))/19,0)))</f>
        <v/>
      </c>
      <c r="S177" s="7" t="n"/>
      <c r="T177" s="5" t="n"/>
    </row>
    <row r="178">
      <c r="A178" s="5" t="n"/>
      <c r="B178" s="5" t="n"/>
      <c r="C178" s="5" t="n"/>
      <c r="D178" s="5" t="n"/>
      <c r="E178" s="6" t="n"/>
      <c r="F178" s="5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>
        <f>IF(B178="","",IF(E178="","?",IF(E178&lt;=1250000,"J","N")))</f>
        <v/>
      </c>
      <c r="Q178" s="7">
        <f>IF(B178="","",IF(F178="","?",IF(AND(F178&gt;=90,F178&lt;=115),"J","N")))</f>
        <v/>
      </c>
      <c r="R178" s="7">
        <f>IF(B178="","",IF(OR(D178="Etagenwohnung",G178="N"),0,ROUND(100*(3*IF(H178="J",1,IF(H178="N",0,0.5))+3*IF(I178="J",1,IF(I178="N",0,0.5))+2*IF(J178="J",1,IF(J178="N",0,0.5))+2*IF(K178="J",1,IF(K178="N",0,0.5))+1*IF(L178="J",1,IF(L178="N",0,0.5))+1*IF(M178="J",1,IF(M178="N",0,0.5))+1*IF(N178="J",1,IF(N178="N",0,0.5))+1*IF(O178="J",1,IF(O178="N",0,0.5))+2*IF(P178="J",1,IF(P178="N",0,0.5))+3*IF(Q178="J",1,IF(Q178="N",0,0.5)))/19,0)))</f>
        <v/>
      </c>
      <c r="S178" s="7" t="n"/>
      <c r="T178" s="5" t="n"/>
    </row>
    <row r="179">
      <c r="A179" s="5" t="n"/>
      <c r="B179" s="5" t="n"/>
      <c r="C179" s="5" t="n"/>
      <c r="D179" s="5" t="n"/>
      <c r="E179" s="6" t="n"/>
      <c r="F179" s="5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>
        <f>IF(B179="","",IF(E179="","?",IF(E179&lt;=1250000,"J","N")))</f>
        <v/>
      </c>
      <c r="Q179" s="7">
        <f>IF(B179="","",IF(F179="","?",IF(AND(F179&gt;=90,F179&lt;=115),"J","N")))</f>
        <v/>
      </c>
      <c r="R179" s="7">
        <f>IF(B179="","",IF(OR(D179="Etagenwohnung",G179="N"),0,ROUND(100*(3*IF(H179="J",1,IF(H179="N",0,0.5))+3*IF(I179="J",1,IF(I179="N",0,0.5))+2*IF(J179="J",1,IF(J179="N",0,0.5))+2*IF(K179="J",1,IF(K179="N",0,0.5))+1*IF(L179="J",1,IF(L179="N",0,0.5))+1*IF(M179="J",1,IF(M179="N",0,0.5))+1*IF(N179="J",1,IF(N179="N",0,0.5))+1*IF(O179="J",1,IF(O179="N",0,0.5))+2*IF(P179="J",1,IF(P179="N",0,0.5))+3*IF(Q179="J",1,IF(Q179="N",0,0.5)))/19,0)))</f>
        <v/>
      </c>
      <c r="S179" s="7" t="n"/>
      <c r="T179" s="5" t="n"/>
    </row>
    <row r="180">
      <c r="A180" s="5" t="n"/>
      <c r="B180" s="5" t="n"/>
      <c r="C180" s="5" t="n"/>
      <c r="D180" s="5" t="n"/>
      <c r="E180" s="6" t="n"/>
      <c r="F180" s="5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>
        <f>IF(B180="","",IF(E180="","?",IF(E180&lt;=1250000,"J","N")))</f>
        <v/>
      </c>
      <c r="Q180" s="7">
        <f>IF(B180="","",IF(F180="","?",IF(AND(F180&gt;=90,F180&lt;=115),"J","N")))</f>
        <v/>
      </c>
      <c r="R180" s="7">
        <f>IF(B180="","",IF(OR(D180="Etagenwohnung",G180="N"),0,ROUND(100*(3*IF(H180="J",1,IF(H180="N",0,0.5))+3*IF(I180="J",1,IF(I180="N",0,0.5))+2*IF(J180="J",1,IF(J180="N",0,0.5))+2*IF(K180="J",1,IF(K180="N",0,0.5))+1*IF(L180="J",1,IF(L180="N",0,0.5))+1*IF(M180="J",1,IF(M180="N",0,0.5))+1*IF(N180="J",1,IF(N180="N",0,0.5))+1*IF(O180="J",1,IF(O180="N",0,0.5))+2*IF(P180="J",1,IF(P180="N",0,0.5))+3*IF(Q180="J",1,IF(Q180="N",0,0.5)))/19,0)))</f>
        <v/>
      </c>
      <c r="S180" s="7" t="n"/>
      <c r="T180" s="5" t="n"/>
    </row>
    <row r="181">
      <c r="A181" s="5" t="n"/>
      <c r="B181" s="5" t="n"/>
      <c r="C181" s="5" t="n"/>
      <c r="D181" s="5" t="n"/>
      <c r="E181" s="6" t="n"/>
      <c r="F181" s="5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>
        <f>IF(B181="","",IF(E181="","?",IF(E181&lt;=1250000,"J","N")))</f>
        <v/>
      </c>
      <c r="Q181" s="7">
        <f>IF(B181="","",IF(F181="","?",IF(AND(F181&gt;=90,F181&lt;=115),"J","N")))</f>
        <v/>
      </c>
      <c r="R181" s="7">
        <f>IF(B181="","",IF(OR(D181="Etagenwohnung",G181="N"),0,ROUND(100*(3*IF(H181="J",1,IF(H181="N",0,0.5))+3*IF(I181="J",1,IF(I181="N",0,0.5))+2*IF(J181="J",1,IF(J181="N",0,0.5))+2*IF(K181="J",1,IF(K181="N",0,0.5))+1*IF(L181="J",1,IF(L181="N",0,0.5))+1*IF(M181="J",1,IF(M181="N",0,0.5))+1*IF(N181="J",1,IF(N181="N",0,0.5))+1*IF(O181="J",1,IF(O181="N",0,0.5))+2*IF(P181="J",1,IF(P181="N",0,0.5))+3*IF(Q181="J",1,IF(Q181="N",0,0.5)))/19,0)))</f>
        <v/>
      </c>
      <c r="S181" s="7" t="n"/>
      <c r="T181" s="5" t="n"/>
    </row>
    <row r="182">
      <c r="A182" s="5" t="n"/>
      <c r="B182" s="5" t="n"/>
      <c r="C182" s="5" t="n"/>
      <c r="D182" s="5" t="n"/>
      <c r="E182" s="6" t="n"/>
      <c r="F182" s="5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>
        <f>IF(B182="","",IF(E182="","?",IF(E182&lt;=1250000,"J","N")))</f>
        <v/>
      </c>
      <c r="Q182" s="7">
        <f>IF(B182="","",IF(F182="","?",IF(AND(F182&gt;=90,F182&lt;=115),"J","N")))</f>
        <v/>
      </c>
      <c r="R182" s="7">
        <f>IF(B182="","",IF(OR(D182="Etagenwohnung",G182="N"),0,ROUND(100*(3*IF(H182="J",1,IF(H182="N",0,0.5))+3*IF(I182="J",1,IF(I182="N",0,0.5))+2*IF(J182="J",1,IF(J182="N",0,0.5))+2*IF(K182="J",1,IF(K182="N",0,0.5))+1*IF(L182="J",1,IF(L182="N",0,0.5))+1*IF(M182="J",1,IF(M182="N",0,0.5))+1*IF(N182="J",1,IF(N182="N",0,0.5))+1*IF(O182="J",1,IF(O182="N",0,0.5))+2*IF(P182="J",1,IF(P182="N",0,0.5))+3*IF(Q182="J",1,IF(Q182="N",0,0.5)))/19,0)))</f>
        <v/>
      </c>
      <c r="S182" s="7" t="n"/>
      <c r="T182" s="5" t="n"/>
    </row>
    <row r="183">
      <c r="A183" s="5" t="n"/>
      <c r="B183" s="5" t="n"/>
      <c r="C183" s="5" t="n"/>
      <c r="D183" s="5" t="n"/>
      <c r="E183" s="6" t="n"/>
      <c r="F183" s="5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>
        <f>IF(B183="","",IF(E183="","?",IF(E183&lt;=1250000,"J","N")))</f>
        <v/>
      </c>
      <c r="Q183" s="7">
        <f>IF(B183="","",IF(F183="","?",IF(AND(F183&gt;=90,F183&lt;=115),"J","N")))</f>
        <v/>
      </c>
      <c r="R183" s="7">
        <f>IF(B183="","",IF(OR(D183="Etagenwohnung",G183="N"),0,ROUND(100*(3*IF(H183="J",1,IF(H183="N",0,0.5))+3*IF(I183="J",1,IF(I183="N",0,0.5))+2*IF(J183="J",1,IF(J183="N",0,0.5))+2*IF(K183="J",1,IF(K183="N",0,0.5))+1*IF(L183="J",1,IF(L183="N",0,0.5))+1*IF(M183="J",1,IF(M183="N",0,0.5))+1*IF(N183="J",1,IF(N183="N",0,0.5))+1*IF(O183="J",1,IF(O183="N",0,0.5))+2*IF(P183="J",1,IF(P183="N",0,0.5))+3*IF(Q183="J",1,IF(Q183="N",0,0.5)))/19,0)))</f>
        <v/>
      </c>
      <c r="S183" s="7" t="n"/>
      <c r="T183" s="5" t="n"/>
    </row>
    <row r="184">
      <c r="A184" s="5" t="n"/>
      <c r="B184" s="5" t="n"/>
      <c r="C184" s="5" t="n"/>
      <c r="D184" s="5" t="n"/>
      <c r="E184" s="6" t="n"/>
      <c r="F184" s="5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>
        <f>IF(B184="","",IF(E184="","?",IF(E184&lt;=1250000,"J","N")))</f>
        <v/>
      </c>
      <c r="Q184" s="7">
        <f>IF(B184="","",IF(F184="","?",IF(AND(F184&gt;=90,F184&lt;=115),"J","N")))</f>
        <v/>
      </c>
      <c r="R184" s="7">
        <f>IF(B184="","",IF(OR(D184="Etagenwohnung",G184="N"),0,ROUND(100*(3*IF(H184="J",1,IF(H184="N",0,0.5))+3*IF(I184="J",1,IF(I184="N",0,0.5))+2*IF(J184="J",1,IF(J184="N",0,0.5))+2*IF(K184="J",1,IF(K184="N",0,0.5))+1*IF(L184="J",1,IF(L184="N",0,0.5))+1*IF(M184="J",1,IF(M184="N",0,0.5))+1*IF(N184="J",1,IF(N184="N",0,0.5))+1*IF(O184="J",1,IF(O184="N",0,0.5))+2*IF(P184="J",1,IF(P184="N",0,0.5))+3*IF(Q184="J",1,IF(Q184="N",0,0.5)))/19,0)))</f>
        <v/>
      </c>
      <c r="S184" s="7" t="n"/>
      <c r="T184" s="5" t="n"/>
    </row>
    <row r="185">
      <c r="A185" s="5" t="n"/>
      <c r="B185" s="5" t="n"/>
      <c r="C185" s="5" t="n"/>
      <c r="D185" s="5" t="n"/>
      <c r="E185" s="6" t="n"/>
      <c r="F185" s="5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>
        <f>IF(B185="","",IF(E185="","?",IF(E185&lt;=1250000,"J","N")))</f>
        <v/>
      </c>
      <c r="Q185" s="7">
        <f>IF(B185="","",IF(F185="","?",IF(AND(F185&gt;=90,F185&lt;=115),"J","N")))</f>
        <v/>
      </c>
      <c r="R185" s="7">
        <f>IF(B185="","",IF(OR(D185="Etagenwohnung",G185="N"),0,ROUND(100*(3*IF(H185="J",1,IF(H185="N",0,0.5))+3*IF(I185="J",1,IF(I185="N",0,0.5))+2*IF(J185="J",1,IF(J185="N",0,0.5))+2*IF(K185="J",1,IF(K185="N",0,0.5))+1*IF(L185="J",1,IF(L185="N",0,0.5))+1*IF(M185="J",1,IF(M185="N",0,0.5))+1*IF(N185="J",1,IF(N185="N",0,0.5))+1*IF(O185="J",1,IF(O185="N",0,0.5))+2*IF(P185="J",1,IF(P185="N",0,0.5))+3*IF(Q185="J",1,IF(Q185="N",0,0.5)))/19,0)))</f>
        <v/>
      </c>
      <c r="S185" s="7" t="n"/>
      <c r="T185" s="5" t="n"/>
    </row>
    <row r="186">
      <c r="A186" s="5" t="n"/>
      <c r="B186" s="5" t="n"/>
      <c r="C186" s="5" t="n"/>
      <c r="D186" s="5" t="n"/>
      <c r="E186" s="6" t="n"/>
      <c r="F186" s="5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>
        <f>IF(B186="","",IF(E186="","?",IF(E186&lt;=1250000,"J","N")))</f>
        <v/>
      </c>
      <c r="Q186" s="7">
        <f>IF(B186="","",IF(F186="","?",IF(AND(F186&gt;=90,F186&lt;=115),"J","N")))</f>
        <v/>
      </c>
      <c r="R186" s="7">
        <f>IF(B186="","",IF(OR(D186="Etagenwohnung",G186="N"),0,ROUND(100*(3*IF(H186="J",1,IF(H186="N",0,0.5))+3*IF(I186="J",1,IF(I186="N",0,0.5))+2*IF(J186="J",1,IF(J186="N",0,0.5))+2*IF(K186="J",1,IF(K186="N",0,0.5))+1*IF(L186="J",1,IF(L186="N",0,0.5))+1*IF(M186="J",1,IF(M186="N",0,0.5))+1*IF(N186="J",1,IF(N186="N",0,0.5))+1*IF(O186="J",1,IF(O186="N",0,0.5))+2*IF(P186="J",1,IF(P186="N",0,0.5))+3*IF(Q186="J",1,IF(Q186="N",0,0.5)))/19,0)))</f>
        <v/>
      </c>
      <c r="S186" s="7" t="n"/>
      <c r="T186" s="5" t="n"/>
    </row>
    <row r="187">
      <c r="A187" s="5" t="n"/>
      <c r="B187" s="5" t="n"/>
      <c r="C187" s="5" t="n"/>
      <c r="D187" s="5" t="n"/>
      <c r="E187" s="6" t="n"/>
      <c r="F187" s="5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>
        <f>IF(B187="","",IF(E187="","?",IF(E187&lt;=1250000,"J","N")))</f>
        <v/>
      </c>
      <c r="Q187" s="7">
        <f>IF(B187="","",IF(F187="","?",IF(AND(F187&gt;=90,F187&lt;=115),"J","N")))</f>
        <v/>
      </c>
      <c r="R187" s="7">
        <f>IF(B187="","",IF(OR(D187="Etagenwohnung",G187="N"),0,ROUND(100*(3*IF(H187="J",1,IF(H187="N",0,0.5))+3*IF(I187="J",1,IF(I187="N",0,0.5))+2*IF(J187="J",1,IF(J187="N",0,0.5))+2*IF(K187="J",1,IF(K187="N",0,0.5))+1*IF(L187="J",1,IF(L187="N",0,0.5))+1*IF(M187="J",1,IF(M187="N",0,0.5))+1*IF(N187="J",1,IF(N187="N",0,0.5))+1*IF(O187="J",1,IF(O187="N",0,0.5))+2*IF(P187="J",1,IF(P187="N",0,0.5))+3*IF(Q187="J",1,IF(Q187="N",0,0.5)))/19,0)))</f>
        <v/>
      </c>
      <c r="S187" s="7" t="n"/>
      <c r="T187" s="5" t="n"/>
    </row>
    <row r="188">
      <c r="A188" s="5" t="n"/>
      <c r="B188" s="5" t="n"/>
      <c r="C188" s="5" t="n"/>
      <c r="D188" s="5" t="n"/>
      <c r="E188" s="6" t="n"/>
      <c r="F188" s="5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>
        <f>IF(B188="","",IF(E188="","?",IF(E188&lt;=1250000,"J","N")))</f>
        <v/>
      </c>
      <c r="Q188" s="7">
        <f>IF(B188="","",IF(F188="","?",IF(AND(F188&gt;=90,F188&lt;=115),"J","N")))</f>
        <v/>
      </c>
      <c r="R188" s="7">
        <f>IF(B188="","",IF(OR(D188="Etagenwohnung",G188="N"),0,ROUND(100*(3*IF(H188="J",1,IF(H188="N",0,0.5))+3*IF(I188="J",1,IF(I188="N",0,0.5))+2*IF(J188="J",1,IF(J188="N",0,0.5))+2*IF(K188="J",1,IF(K188="N",0,0.5))+1*IF(L188="J",1,IF(L188="N",0,0.5))+1*IF(M188="J",1,IF(M188="N",0,0.5))+1*IF(N188="J",1,IF(N188="N",0,0.5))+1*IF(O188="J",1,IF(O188="N",0,0.5))+2*IF(P188="J",1,IF(P188="N",0,0.5))+3*IF(Q188="J",1,IF(Q188="N",0,0.5)))/19,0)))</f>
        <v/>
      </c>
      <c r="S188" s="7" t="n"/>
      <c r="T188" s="5" t="n"/>
    </row>
    <row r="189">
      <c r="A189" s="5" t="n"/>
      <c r="B189" s="5" t="n"/>
      <c r="C189" s="5" t="n"/>
      <c r="D189" s="5" t="n"/>
      <c r="E189" s="6" t="n"/>
      <c r="F189" s="5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>
        <f>IF(B189="","",IF(E189="","?",IF(E189&lt;=1250000,"J","N")))</f>
        <v/>
      </c>
      <c r="Q189" s="7">
        <f>IF(B189="","",IF(F189="","?",IF(AND(F189&gt;=90,F189&lt;=115),"J","N")))</f>
        <v/>
      </c>
      <c r="R189" s="7">
        <f>IF(B189="","",IF(OR(D189="Etagenwohnung",G189="N"),0,ROUND(100*(3*IF(H189="J",1,IF(H189="N",0,0.5))+3*IF(I189="J",1,IF(I189="N",0,0.5))+2*IF(J189="J",1,IF(J189="N",0,0.5))+2*IF(K189="J",1,IF(K189="N",0,0.5))+1*IF(L189="J",1,IF(L189="N",0,0.5))+1*IF(M189="J",1,IF(M189="N",0,0.5))+1*IF(N189="J",1,IF(N189="N",0,0.5))+1*IF(O189="J",1,IF(O189="N",0,0.5))+2*IF(P189="J",1,IF(P189="N",0,0.5))+3*IF(Q189="J",1,IF(Q189="N",0,0.5)))/19,0)))</f>
        <v/>
      </c>
      <c r="S189" s="7" t="n"/>
      <c r="T189" s="5" t="n"/>
    </row>
    <row r="190">
      <c r="A190" s="5" t="n"/>
      <c r="B190" s="5" t="n"/>
      <c r="C190" s="5" t="n"/>
      <c r="D190" s="5" t="n"/>
      <c r="E190" s="6" t="n"/>
      <c r="F190" s="5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>
        <f>IF(B190="","",IF(E190="","?",IF(E190&lt;=1250000,"J","N")))</f>
        <v/>
      </c>
      <c r="Q190" s="7">
        <f>IF(B190="","",IF(F190="","?",IF(AND(F190&gt;=90,F190&lt;=115),"J","N")))</f>
        <v/>
      </c>
      <c r="R190" s="7">
        <f>IF(B190="","",IF(OR(D190="Etagenwohnung",G190="N"),0,ROUND(100*(3*IF(H190="J",1,IF(H190="N",0,0.5))+3*IF(I190="J",1,IF(I190="N",0,0.5))+2*IF(J190="J",1,IF(J190="N",0,0.5))+2*IF(K190="J",1,IF(K190="N",0,0.5))+1*IF(L190="J",1,IF(L190="N",0,0.5))+1*IF(M190="J",1,IF(M190="N",0,0.5))+1*IF(N190="J",1,IF(N190="N",0,0.5))+1*IF(O190="J",1,IF(O190="N",0,0.5))+2*IF(P190="J",1,IF(P190="N",0,0.5))+3*IF(Q190="J",1,IF(Q190="N",0,0.5)))/19,0)))</f>
        <v/>
      </c>
      <c r="S190" s="7" t="n"/>
      <c r="T190" s="5" t="n"/>
    </row>
    <row r="191">
      <c r="A191" s="5" t="n"/>
      <c r="B191" s="5" t="n"/>
      <c r="C191" s="5" t="n"/>
      <c r="D191" s="5" t="n"/>
      <c r="E191" s="6" t="n"/>
      <c r="F191" s="5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>
        <f>IF(B191="","",IF(E191="","?",IF(E191&lt;=1250000,"J","N")))</f>
        <v/>
      </c>
      <c r="Q191" s="7">
        <f>IF(B191="","",IF(F191="","?",IF(AND(F191&gt;=90,F191&lt;=115),"J","N")))</f>
        <v/>
      </c>
      <c r="R191" s="7">
        <f>IF(B191="","",IF(OR(D191="Etagenwohnung",G191="N"),0,ROUND(100*(3*IF(H191="J",1,IF(H191="N",0,0.5))+3*IF(I191="J",1,IF(I191="N",0,0.5))+2*IF(J191="J",1,IF(J191="N",0,0.5))+2*IF(K191="J",1,IF(K191="N",0,0.5))+1*IF(L191="J",1,IF(L191="N",0,0.5))+1*IF(M191="J",1,IF(M191="N",0,0.5))+1*IF(N191="J",1,IF(N191="N",0,0.5))+1*IF(O191="J",1,IF(O191="N",0,0.5))+2*IF(P191="J",1,IF(P191="N",0,0.5))+3*IF(Q191="J",1,IF(Q191="N",0,0.5)))/19,0)))</f>
        <v/>
      </c>
      <c r="S191" s="7" t="n"/>
      <c r="T191" s="5" t="n"/>
    </row>
    <row r="192">
      <c r="A192" s="5" t="n"/>
      <c r="B192" s="5" t="n"/>
      <c r="C192" s="5" t="n"/>
      <c r="D192" s="5" t="n"/>
      <c r="E192" s="6" t="n"/>
      <c r="F192" s="5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>
        <f>IF(B192="","",IF(E192="","?",IF(E192&lt;=1250000,"J","N")))</f>
        <v/>
      </c>
      <c r="Q192" s="7">
        <f>IF(B192="","",IF(F192="","?",IF(AND(F192&gt;=90,F192&lt;=115),"J","N")))</f>
        <v/>
      </c>
      <c r="R192" s="7">
        <f>IF(B192="","",IF(OR(D192="Etagenwohnung",G192="N"),0,ROUND(100*(3*IF(H192="J",1,IF(H192="N",0,0.5))+3*IF(I192="J",1,IF(I192="N",0,0.5))+2*IF(J192="J",1,IF(J192="N",0,0.5))+2*IF(K192="J",1,IF(K192="N",0,0.5))+1*IF(L192="J",1,IF(L192="N",0,0.5))+1*IF(M192="J",1,IF(M192="N",0,0.5))+1*IF(N192="J",1,IF(N192="N",0,0.5))+1*IF(O192="J",1,IF(O192="N",0,0.5))+2*IF(P192="J",1,IF(P192="N",0,0.5))+3*IF(Q192="J",1,IF(Q192="N",0,0.5)))/19,0)))</f>
        <v/>
      </c>
      <c r="S192" s="7" t="n"/>
      <c r="T192" s="5" t="n"/>
    </row>
    <row r="193">
      <c r="A193" s="5" t="n"/>
      <c r="B193" s="5" t="n"/>
      <c r="C193" s="5" t="n"/>
      <c r="D193" s="5" t="n"/>
      <c r="E193" s="6" t="n"/>
      <c r="F193" s="5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>
        <f>IF(B193="","",IF(E193="","?",IF(E193&lt;=1250000,"J","N")))</f>
        <v/>
      </c>
      <c r="Q193" s="7">
        <f>IF(B193="","",IF(F193="","?",IF(AND(F193&gt;=90,F193&lt;=115),"J","N")))</f>
        <v/>
      </c>
      <c r="R193" s="7">
        <f>IF(B193="","",IF(OR(D193="Etagenwohnung",G193="N"),0,ROUND(100*(3*IF(H193="J",1,IF(H193="N",0,0.5))+3*IF(I193="J",1,IF(I193="N",0,0.5))+2*IF(J193="J",1,IF(J193="N",0,0.5))+2*IF(K193="J",1,IF(K193="N",0,0.5))+1*IF(L193="J",1,IF(L193="N",0,0.5))+1*IF(M193="J",1,IF(M193="N",0,0.5))+1*IF(N193="J",1,IF(N193="N",0,0.5))+1*IF(O193="J",1,IF(O193="N",0,0.5))+2*IF(P193="J",1,IF(P193="N",0,0.5))+3*IF(Q193="J",1,IF(Q193="N",0,0.5)))/19,0)))</f>
        <v/>
      </c>
      <c r="S193" s="7" t="n"/>
      <c r="T193" s="5" t="n"/>
    </row>
    <row r="194">
      <c r="A194" s="5" t="n"/>
      <c r="B194" s="5" t="n"/>
      <c r="C194" s="5" t="n"/>
      <c r="D194" s="5" t="n"/>
      <c r="E194" s="6" t="n"/>
      <c r="F194" s="5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>
        <f>IF(B194="","",IF(E194="","?",IF(E194&lt;=1250000,"J","N")))</f>
        <v/>
      </c>
      <c r="Q194" s="7">
        <f>IF(B194="","",IF(F194="","?",IF(AND(F194&gt;=90,F194&lt;=115),"J","N")))</f>
        <v/>
      </c>
      <c r="R194" s="7">
        <f>IF(B194="","",IF(OR(D194="Etagenwohnung",G194="N"),0,ROUND(100*(3*IF(H194="J",1,IF(H194="N",0,0.5))+3*IF(I194="J",1,IF(I194="N",0,0.5))+2*IF(J194="J",1,IF(J194="N",0,0.5))+2*IF(K194="J",1,IF(K194="N",0,0.5))+1*IF(L194="J",1,IF(L194="N",0,0.5))+1*IF(M194="J",1,IF(M194="N",0,0.5))+1*IF(N194="J",1,IF(N194="N",0,0.5))+1*IF(O194="J",1,IF(O194="N",0,0.5))+2*IF(P194="J",1,IF(P194="N",0,0.5))+3*IF(Q194="J",1,IF(Q194="N",0,0.5)))/19,0)))</f>
        <v/>
      </c>
      <c r="S194" s="7" t="n"/>
      <c r="T194" s="5" t="n"/>
    </row>
    <row r="195">
      <c r="A195" s="5" t="n"/>
      <c r="B195" s="5" t="n"/>
      <c r="C195" s="5" t="n"/>
      <c r="D195" s="5" t="n"/>
      <c r="E195" s="6" t="n"/>
      <c r="F195" s="5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>
        <f>IF(B195="","",IF(E195="","?",IF(E195&lt;=1250000,"J","N")))</f>
        <v/>
      </c>
      <c r="Q195" s="7">
        <f>IF(B195="","",IF(F195="","?",IF(AND(F195&gt;=90,F195&lt;=115),"J","N")))</f>
        <v/>
      </c>
      <c r="R195" s="7">
        <f>IF(B195="","",IF(OR(D195="Etagenwohnung",G195="N"),0,ROUND(100*(3*IF(H195="J",1,IF(H195="N",0,0.5))+3*IF(I195="J",1,IF(I195="N",0,0.5))+2*IF(J195="J",1,IF(J195="N",0,0.5))+2*IF(K195="J",1,IF(K195="N",0,0.5))+1*IF(L195="J",1,IF(L195="N",0,0.5))+1*IF(M195="J",1,IF(M195="N",0,0.5))+1*IF(N195="J",1,IF(N195="N",0,0.5))+1*IF(O195="J",1,IF(O195="N",0,0.5))+2*IF(P195="J",1,IF(P195="N",0,0.5))+3*IF(Q195="J",1,IF(Q195="N",0,0.5)))/19,0)))</f>
        <v/>
      </c>
      <c r="S195" s="7" t="n"/>
      <c r="T195" s="5" t="n"/>
    </row>
    <row r="196">
      <c r="A196" s="5" t="n"/>
      <c r="B196" s="5" t="n"/>
      <c r="C196" s="5" t="n"/>
      <c r="D196" s="5" t="n"/>
      <c r="E196" s="6" t="n"/>
      <c r="F196" s="5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>
        <f>IF(B196="","",IF(E196="","?",IF(E196&lt;=1250000,"J","N")))</f>
        <v/>
      </c>
      <c r="Q196" s="7">
        <f>IF(B196="","",IF(F196="","?",IF(AND(F196&gt;=90,F196&lt;=115),"J","N")))</f>
        <v/>
      </c>
      <c r="R196" s="7">
        <f>IF(B196="","",IF(OR(D196="Etagenwohnung",G196="N"),0,ROUND(100*(3*IF(H196="J",1,IF(H196="N",0,0.5))+3*IF(I196="J",1,IF(I196="N",0,0.5))+2*IF(J196="J",1,IF(J196="N",0,0.5))+2*IF(K196="J",1,IF(K196="N",0,0.5))+1*IF(L196="J",1,IF(L196="N",0,0.5))+1*IF(M196="J",1,IF(M196="N",0,0.5))+1*IF(N196="J",1,IF(N196="N",0,0.5))+1*IF(O196="J",1,IF(O196="N",0,0.5))+2*IF(P196="J",1,IF(P196="N",0,0.5))+3*IF(Q196="J",1,IF(Q196="N",0,0.5)))/19,0)))</f>
        <v/>
      </c>
      <c r="S196" s="7" t="n"/>
      <c r="T196" s="5" t="n"/>
    </row>
    <row r="197">
      <c r="A197" s="5" t="n"/>
      <c r="B197" s="5" t="n"/>
      <c r="C197" s="5" t="n"/>
      <c r="D197" s="5" t="n"/>
      <c r="E197" s="6" t="n"/>
      <c r="F197" s="5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>
        <f>IF(B197="","",IF(E197="","?",IF(E197&lt;=1250000,"J","N")))</f>
        <v/>
      </c>
      <c r="Q197" s="7">
        <f>IF(B197="","",IF(F197="","?",IF(AND(F197&gt;=90,F197&lt;=115),"J","N")))</f>
        <v/>
      </c>
      <c r="R197" s="7">
        <f>IF(B197="","",IF(OR(D197="Etagenwohnung",G197="N"),0,ROUND(100*(3*IF(H197="J",1,IF(H197="N",0,0.5))+3*IF(I197="J",1,IF(I197="N",0,0.5))+2*IF(J197="J",1,IF(J197="N",0,0.5))+2*IF(K197="J",1,IF(K197="N",0,0.5))+1*IF(L197="J",1,IF(L197="N",0,0.5))+1*IF(M197="J",1,IF(M197="N",0,0.5))+1*IF(N197="J",1,IF(N197="N",0,0.5))+1*IF(O197="J",1,IF(O197="N",0,0.5))+2*IF(P197="J",1,IF(P197="N",0,0.5))+3*IF(Q197="J",1,IF(Q197="N",0,0.5)))/19,0)))</f>
        <v/>
      </c>
      <c r="S197" s="7" t="n"/>
      <c r="T197" s="5" t="n"/>
    </row>
    <row r="198">
      <c r="A198" s="5" t="n"/>
      <c r="B198" s="5" t="n"/>
      <c r="C198" s="5" t="n"/>
      <c r="D198" s="5" t="n"/>
      <c r="E198" s="6" t="n"/>
      <c r="F198" s="5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>
        <f>IF(B198="","",IF(E198="","?",IF(E198&lt;=1250000,"J","N")))</f>
        <v/>
      </c>
      <c r="Q198" s="7">
        <f>IF(B198="","",IF(F198="","?",IF(AND(F198&gt;=90,F198&lt;=115),"J","N")))</f>
        <v/>
      </c>
      <c r="R198" s="7">
        <f>IF(B198="","",IF(OR(D198="Etagenwohnung",G198="N"),0,ROUND(100*(3*IF(H198="J",1,IF(H198="N",0,0.5))+3*IF(I198="J",1,IF(I198="N",0,0.5))+2*IF(J198="J",1,IF(J198="N",0,0.5))+2*IF(K198="J",1,IF(K198="N",0,0.5))+1*IF(L198="J",1,IF(L198="N",0,0.5))+1*IF(M198="J",1,IF(M198="N",0,0.5))+1*IF(N198="J",1,IF(N198="N",0,0.5))+1*IF(O198="J",1,IF(O198="N",0,0.5))+2*IF(P198="J",1,IF(P198="N",0,0.5))+3*IF(Q198="J",1,IF(Q198="N",0,0.5)))/19,0)))</f>
        <v/>
      </c>
      <c r="S198" s="7" t="n"/>
      <c r="T198" s="5" t="n"/>
    </row>
    <row r="199">
      <c r="A199" s="5" t="n"/>
      <c r="B199" s="5" t="n"/>
      <c r="C199" s="5" t="n"/>
      <c r="D199" s="5" t="n"/>
      <c r="E199" s="6" t="n"/>
      <c r="F199" s="5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>
        <f>IF(B199="","",IF(E199="","?",IF(E199&lt;=1250000,"J","N")))</f>
        <v/>
      </c>
      <c r="Q199" s="7">
        <f>IF(B199="","",IF(F199="","?",IF(AND(F199&gt;=90,F199&lt;=115),"J","N")))</f>
        <v/>
      </c>
      <c r="R199" s="7">
        <f>IF(B199="","",IF(OR(D199="Etagenwohnung",G199="N"),0,ROUND(100*(3*IF(H199="J",1,IF(H199="N",0,0.5))+3*IF(I199="J",1,IF(I199="N",0,0.5))+2*IF(J199="J",1,IF(J199="N",0,0.5))+2*IF(K199="J",1,IF(K199="N",0,0.5))+1*IF(L199="J",1,IF(L199="N",0,0.5))+1*IF(M199="J",1,IF(M199="N",0,0.5))+1*IF(N199="J",1,IF(N199="N",0,0.5))+1*IF(O199="J",1,IF(O199="N",0,0.5))+2*IF(P199="J",1,IF(P199="N",0,0.5))+3*IF(Q199="J",1,IF(Q199="N",0,0.5)))/19,0)))</f>
        <v/>
      </c>
      <c r="S199" s="7" t="n"/>
      <c r="T199" s="5" t="n"/>
    </row>
    <row r="200">
      <c r="A200" s="5" t="n"/>
      <c r="B200" s="5" t="n"/>
      <c r="C200" s="5" t="n"/>
      <c r="D200" s="5" t="n"/>
      <c r="E200" s="6" t="n"/>
      <c r="F200" s="5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>
        <f>IF(B200="","",IF(E200="","?",IF(E200&lt;=1250000,"J","N")))</f>
        <v/>
      </c>
      <c r="Q200" s="7">
        <f>IF(B200="","",IF(F200="","?",IF(AND(F200&gt;=90,F200&lt;=115),"J","N")))</f>
        <v/>
      </c>
      <c r="R200" s="7">
        <f>IF(B200="","",IF(OR(D200="Etagenwohnung",G200="N"),0,ROUND(100*(3*IF(H200="J",1,IF(H200="N",0,0.5))+3*IF(I200="J",1,IF(I200="N",0,0.5))+2*IF(J200="J",1,IF(J200="N",0,0.5))+2*IF(K200="J",1,IF(K200="N",0,0.5))+1*IF(L200="J",1,IF(L200="N",0,0.5))+1*IF(M200="J",1,IF(M200="N",0,0.5))+1*IF(N200="J",1,IF(N200="N",0,0.5))+1*IF(O200="J",1,IF(O200="N",0,0.5))+2*IF(P200="J",1,IF(P200="N",0,0.5))+3*IF(Q200="J",1,IF(Q200="N",0,0.5)))/19,0)))</f>
        <v/>
      </c>
      <c r="S200" s="7" t="n"/>
      <c r="T200" s="5" t="n"/>
    </row>
  </sheetData>
  <conditionalFormatting sqref="R2:R200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G2:Q200">
    <cfRule type="cellIs" priority="2" operator="equal" dxfId="0">
      <formula>"J"</formula>
    </cfRule>
    <cfRule type="cellIs" priority="3" operator="equal" dxfId="1">
      <formula>"N"</formula>
    </cfRule>
  </conditionalFormatting>
  <conditionalFormatting sqref="S2:S200">
    <cfRule type="cellIs" priority="4" operator="equal" dxfId="2">
      <formula>"Interessant"</formula>
    </cfRule>
    <cfRule type="cellIs" priority="5" operator="equal" dxfId="3">
      <formula>"Vielleicht"</formula>
    </cfRule>
    <cfRule type="cellIs" priority="6" operator="equal" dxfId="4">
      <formula>"Absage"</formula>
    </cfRule>
  </conditionalFormatting>
  <dataValidations count="3">
    <dataValidation sqref="D2:D200" showDropDown="0" showInputMessage="0" showErrorMessage="0" allowBlank="1" type="list">
      <formula1>"Penthouse,Dachgeschoss,Etagenwohnung,Erdgeschoss/Garten,?"</formula1>
    </dataValidation>
    <dataValidation sqref="G2:G200 H2:H200 I2:I200 J2:J200 K2:K200 L2:L200 M2:M200 N2:N200 O2:O200" showDropDown="0" showInputMessage="0" showErrorMessage="0" allowBlank="1" type="list">
      <formula1>"J,N,?"</formula1>
    </dataValidation>
    <dataValidation sqref="S2:S200" showDropDown="0" showInputMessage="0" showErrorMessage="0" allowBlank="1" type="list">
      <formula1>"Interessant,Vielleicht,Absage,offen"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 outlineLevelCol="0"/>
  <cols>
    <col width="130" customWidth="1" min="1" max="1"/>
  </cols>
  <sheetData>
    <row r="1">
      <c r="A1" t="inlineStr">
        <is>
          <t>Blatt „Angebote &amp; Wertung“: pro Angebot eine Zeile, Kriterien mit J / N / ? (unbekannt) ausfüllen.</t>
        </is>
      </c>
    </row>
    <row r="2">
      <c r="A2" t="inlineStr">
        <is>
          <t>Score 0–100 rechnet sich selbst: J = volle Punkte, ? = halbe Punkte, N = null.</t>
        </is>
      </c>
    </row>
    <row r="3">
      <c r="A3" t="inlineStr">
        <is>
          <t>K.O.-Kriterien (Score sofort 0): Typ = Etagenwohnung oder Aufzug = N.</t>
        </is>
      </c>
    </row>
    <row r="4">
      <c r="A4" t="inlineStr">
        <is>
          <t>Gewichte: Südterrasse ×3, Lage im Suchraum ×3, Gesundheit/Fitness vor Ort ×2, Neubau/gepflegt ×2, Fußbodenheizung ×1, Tiefgarage+Ladestation ×1, Keller ×1, ruhig ×1, Preis im Rahmen ×2, Größe ca. 100 ×3</t>
        </is>
      </c>
    </row>
    <row r="5">
      <c r="A5" t="inlineStr">
        <is>
          <t>Preis im Rahmen: ≤ 1.250.000 € (Rahmen 750–1.250 T€). Größe ca. 100: 90–115 m² (ohne Terrasse).</t>
        </is>
      </c>
    </row>
    <row r="6">
      <c r="A6" t="inlineStr">
        <is>
          <t>Farbskala Score: rot (0) – gelb (50) – grün (100). Wertung per Auswahlliste: Interessant / Vielleicht / Absage / offen.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2026-10-14T20:59:26Z</dcterms:created>
  <dcterms:modified xmlns:dcterms="http://purl.org/dc/terms/" xmlns:xsi="http://www.w3.org/2001/XMLSchema-instance" xsi:type="dcterms:W3CDTF">2026-10-14T20:59:26Z</dcterms:modified>
</cp:coreProperties>
</file>