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'Übersicht'!$A$1:$F$17</definedName>
    <definedName name="_xlnm._FilterDatabase" localSheetId="1" hidden="1">'Angebote'!$A$1:$V$100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00&quot;%&quot;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166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KSK München – BaufinanzierungsCenter</t>
        </is>
      </c>
      <c r="B6" s="3" t="inlineStr">
        <is>
          <t>München · Hr. Basile (Baufinanzierung)</t>
        </is>
      </c>
      <c r="C6" s="3" t="inlineStr">
        <is>
          <t>leonardo.basile@kskmse.de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19.10. Antwort: nimmt uns in Datenbank auf; Anschrift + Mail gesendet (ohne Telefon)</t>
        </is>
      </c>
    </row>
    <row r="7">
      <c r="A7" s="2" t="inlineStr">
        <is>
          <t>Lieb Immobilien</t>
        </is>
      </c>
      <c r="B7" s="3" t="inlineStr">
        <is>
          <t>Weilheim · Hr. Lieb</t>
        </is>
      </c>
      <c r="C7" s="3" t="inlineStr">
        <is>
          <t>info@lieb-immobilien.de</t>
        </is>
      </c>
      <c r="D7" s="4" t="inlineStr">
        <is>
          <t>Wartet auf Objekte</t>
        </is>
      </c>
      <c r="E7" s="3" t="inlineStr">
        <is>
          <t>Nur noch bei Penthouse/DG mit großer Südterrasse + Aufzug melden</t>
        </is>
      </c>
      <c r="F7" s="3" t="inlineStr">
        <is>
          <t>19.10. Anschrift, Festnetz + Kriterien gesendet; 21.10. Exposé Peißenberg (nur überdachter Balkon) → Absage gesendet, Kontakt bleibt offen</t>
        </is>
      </c>
    </row>
    <row r="8">
      <c r="A8" s="2" t="inlineStr">
        <is>
          <t>deltapro Immobilien</t>
        </is>
      </c>
      <c r="B8" s="3" t="inlineStr">
        <is>
          <t>Gilching · Fr. Götz</t>
        </is>
      </c>
      <c r="C8" s="3" t="inlineStr">
        <is>
          <t>info@deltapro.immobilien</t>
        </is>
      </c>
      <c r="D8" s="5" t="inlineStr">
        <is>
          <t>Absage</t>
        </is>
      </c>
      <c r="E8" s="3" t="inlineStr">
        <is>
          <t>—</t>
        </is>
      </c>
      <c r="F8" s="3" t="inlineStr">
        <is>
          <t>21.10. Antwort mit Westpark-Sendling (kein PH/keine Terrasse) + Obermenzing DG 145 m² (Preis viel zu hoch) → Absage gesendet</t>
        </is>
      </c>
    </row>
    <row r="9">
      <c r="A9" s="2" t="inlineStr">
        <is>
          <t>Schneider &amp; Prell Immobilientreuhand</t>
        </is>
      </c>
      <c r="B9" s="3" t="inlineStr">
        <is>
          <t>Wolfratshausen · Fr. Pfeiffer</t>
        </is>
      </c>
      <c r="C9" s="3" t="inlineStr">
        <is>
          <t>h.pfeiffer@schneider-prell.de</t>
        </is>
      </c>
      <c r="D9" s="4" t="inlineStr">
        <is>
          <t>Wartet auf Objekte</t>
        </is>
      </c>
      <c r="E9" s="3" t="inlineStr">
        <is>
          <t>—</t>
        </is>
      </c>
      <c r="F9" s="3" t="inlineStr">
        <is>
          <t>14.10. Kontaktformular ausgefüllt (Anschrift, Festnetz)</t>
        </is>
      </c>
    </row>
    <row r="10">
      <c r="A10" s="2" t="inlineStr">
        <is>
          <t>FT Immobilien 24</t>
        </is>
      </c>
      <c r="B10" s="3" t="inlineStr">
        <is>
          <t>Unterföhring · Hr. Tortorici</t>
        </is>
      </c>
      <c r="C10" s="3" t="inlineStr">
        <is>
          <t>kontakt@ftimmobilien24.com</t>
        </is>
      </c>
      <c r="D10" s="4" t="inlineStr">
        <is>
          <t>Wartet auf Objekte</t>
        </is>
      </c>
      <c r="E10" s="3" t="inlineStr">
        <is>
          <t>—</t>
        </is>
      </c>
      <c r="F10" s="3" t="inlineStr">
        <is>
          <t>14.10. in Interessentenkartei aufgenommen</t>
        </is>
      </c>
    </row>
    <row r="11">
      <c r="A11" s="2" t="inlineStr">
        <is>
          <t>Engel &amp; Völkers Starnberg</t>
        </is>
      </c>
      <c r="B11" s="3" t="inlineStr">
        <is>
          <t>Starnberg</t>
        </is>
      </c>
      <c r="C11" s="3" t="inlineStr">
        <is>
          <t>contact@ (Ersatz-Adresse)</t>
        </is>
      </c>
      <c r="D11" s="4" t="inlineStr">
        <is>
          <t>Wartet auf Antwort</t>
        </is>
      </c>
      <c r="E11" s="3" t="inlineStr">
        <is>
          <t>—</t>
        </is>
      </c>
      <c r="F11" s="3" t="inlineStr">
        <is>
          <t>15.10. Voranfrage v4 an Ersatz-Adresse gesendet (alte Mail unzustellbar)</t>
        </is>
      </c>
    </row>
    <row r="12">
      <c r="A12" s="2" t="inlineStr">
        <is>
          <t>Engel &amp; Völkers München West</t>
        </is>
      </c>
      <c r="B12" s="3" t="inlineStr">
        <is>
          <t>Germering</t>
        </is>
      </c>
      <c r="C12" s="3" t="inlineStr">
        <is>
          <t>nur Kontaktformular</t>
        </is>
      </c>
      <c r="D12" s="6" t="inlineStr">
        <is>
          <t>Formular manuell</t>
        </is>
      </c>
      <c r="E12" s="3" t="inlineStr">
        <is>
          <t>Formular selbst absenden (Captcha) – Text: scratch/makler_formulare_20261014/formular_text.txt</t>
        </is>
      </c>
      <c r="F12" s="3" t="inlineStr">
        <is>
          <t>14.10. Formular-Versuch: Captcha</t>
        </is>
      </c>
    </row>
    <row r="13">
      <c r="A13" s="2" t="inlineStr">
        <is>
          <t>Engel &amp; Völkers Münchner Westen</t>
        </is>
      </c>
      <c r="B13" s="3" t="inlineStr">
        <is>
          <t>Gräfelfing</t>
        </is>
      </c>
      <c r="C13" s="3" t="inlineStr">
        <is>
          <t>nur Kontaktformular</t>
        </is>
      </c>
      <c r="D13" s="6" t="inlineStr">
        <is>
          <t>Formular manuell</t>
        </is>
      </c>
      <c r="E13" s="3" t="inlineStr">
        <is>
          <t>Formular selbst absenden (Captcha)</t>
        </is>
      </c>
      <c r="F13" s="3" t="inlineStr">
        <is>
          <t>14.10. Formular-Versuch: Captcha</t>
        </is>
      </c>
    </row>
    <row r="14">
      <c r="A14" s="2" t="inlineStr">
        <is>
          <t>Engel &amp; Völkers Ostallgäu – Maria Platz</t>
        </is>
      </c>
      <c r="B14" s="3" t="inlineStr">
        <is>
          <t>Ostallgäu</t>
        </is>
      </c>
      <c r="C14" s="3" t="inlineStr">
        <is>
          <t>nur Kontaktformular</t>
        </is>
      </c>
      <c r="D14" s="6" t="inlineStr">
        <is>
          <t>Formular manuell</t>
        </is>
      </c>
      <c r="E14" s="3" t="inlineStr">
        <is>
          <t>Formular selbst absenden (Captcha)</t>
        </is>
      </c>
      <c r="F14" s="3" t="inlineStr">
        <is>
          <t>14.10. Formular-Versuch: Captcha</t>
        </is>
      </c>
    </row>
    <row r="15">
      <c r="A15" s="2" t="inlineStr">
        <is>
          <t>VON POLL IMMOBILIEN Füssen</t>
        </is>
      </c>
      <c r="B15" s="3" t="inlineStr">
        <is>
          <t>Füssen</t>
        </is>
      </c>
      <c r="C15" s="3" t="inlineStr">
        <is>
          <t>nur Kontaktformular</t>
        </is>
      </c>
      <c r="D15" s="6" t="inlineStr">
        <is>
          <t>Formular manuell</t>
        </is>
      </c>
      <c r="E15" s="3" t="inlineStr">
        <is>
          <t>Formular selbst absenden (Bot-Schutz 403)</t>
        </is>
      </c>
      <c r="F15" s="3" t="inlineStr">
        <is>
          <t>14.10. Formular-Versuch: blockt Automat</t>
        </is>
      </c>
    </row>
    <row r="16">
      <c r="A16" s="2" t="inlineStr">
        <is>
          <t>RE/MAX Immobilien Bad Tölz</t>
        </is>
      </c>
      <c r="B16" s="3" t="inlineStr">
        <is>
          <t>Bad Tölz</t>
        </is>
      </c>
      <c r="C16" s="3" t="inlineStr">
        <is>
          <t>nur Kontaktformular</t>
        </is>
      </c>
      <c r="D16" s="6" t="inlineStr">
        <is>
          <t>Formular manuell</t>
        </is>
      </c>
      <c r="E16" s="3" t="inlineStr">
        <is>
          <t>Formular selbst absenden (Security Verification)</t>
        </is>
      </c>
      <c r="F16" s="3" t="inlineStr">
        <is>
          <t>14.10. Formular-Versuch: blockt Automat</t>
        </is>
      </c>
    </row>
    <row r="17">
      <c r="A17" s="2" t="inlineStr">
        <is>
          <t>Aigner Immobilien</t>
        </is>
      </c>
      <c r="B17" s="3" t="inlineStr">
        <is>
          <t>München Sendling · Fr. Becker</t>
        </is>
      </c>
      <c r="C17" s="3" t="inlineStr">
        <is>
          <t>info@aigner-immobilien.de</t>
        </is>
      </c>
      <c r="D17" s="5" t="inlineStr">
        <is>
          <t>Absage</t>
        </is>
      </c>
      <c r="E17" s="3" t="inlineStr">
        <is>
          <t>—</t>
        </is>
      </c>
      <c r="F17" s="3" t="inlineStr">
        <is>
          <t>14.10. Absage gesendet (Obermenzing = Etagenwohnung, No-Go)</t>
        </is>
      </c>
    </row>
  </sheetData>
  <autoFilter ref="A1:F17"/>
  <dataValidations count="1">
    <dataValidation sqref="D2:D37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22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  <c r="T1" s="7" t="inlineStr">
        <is>
          <t>Provision % (Käufer, inkl. MwSt.)</t>
        </is>
      </c>
      <c r="U1" s="7" t="inlineStr">
        <is>
          <t>Nebenkosten €</t>
        </is>
      </c>
      <c r="V1" s="7" t="inlineStr">
        <is>
          <t>Gesamtkosten €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,J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+IF(T2="",0,1*IF(T2="?",0.5,MAX(0,1-T2/3.57))))/(19+IF(T2="",0,1))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  <c r="T2" s="11" t="n"/>
      <c r="U2" s="9">
        <f>IF(OR(D2="",T2="",T2="?"),"",ROUND(D2*(Legende!$B$9+Legende!$B$10+T2/100),0))</f>
        <v/>
      </c>
      <c r="V2" s="9">
        <f>IF(U2="","",D2+U2)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,J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+IF(T3="",0,1*IF(T3="?",0.5,MAX(0,1-T3/3.57))))/(19+IF(T3="",0,1))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  <c r="T3" s="11" t="n"/>
      <c r="U3" s="9">
        <f>IF(OR(D3="",T3="",T3="?"),"",ROUND(D3*(Legende!$B$9+Legende!$B$10+T3/100),0))</f>
        <v/>
      </c>
      <c r="V3" s="9">
        <f>IF(U3="","",D3+U3)</f>
        <v/>
      </c>
    </row>
    <row r="4">
      <c r="A4" s="8" t="inlineStr">
        <is>
          <t>Lieb Immobilien</t>
        </is>
      </c>
      <c r="B4" s="8" t="inlineStr">
        <is>
          <t>Neubau-DG, Wörther Str. 45, Peißenberg (5-Familienhaus, fertig Anfang 2027)</t>
        </is>
      </c>
      <c r="C4" s="8" t="inlineStr">
        <is>
          <t>Dachgeschoss</t>
        </is>
      </c>
      <c r="D4" s="9" t="n">
        <v>599000</v>
      </c>
      <c r="E4" s="10" t="n">
        <v>122</v>
      </c>
      <c r="F4" s="10">
        <f>IF(A4="","",IF(OR(C4="Etagenwohnung",I4="N",J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+IF(T4="",0,1*IF(T4="?",0.5,MAX(0,1-T4/3.57))))/(19+IF(T4="",0,1)),0)))</f>
        <v/>
      </c>
      <c r="G4" s="10" t="inlineStr">
        <is>
          <t>Absage</t>
        </is>
      </c>
      <c r="H4" s="8" t="inlineStr">
        <is>
          <t>21.10. Absage: nur überdachter Balkon (große Terrasse = K.O.), Aufzug unklar; sonst FBH, WP, Keller, Garage</t>
        </is>
      </c>
      <c r="I4" s="10" t="inlineStr">
        <is>
          <t>?</t>
        </is>
      </c>
      <c r="J4" s="10" t="inlineStr">
        <is>
          <t>N</t>
        </is>
      </c>
      <c r="K4" s="10" t="inlineStr">
        <is>
          <t>J</t>
        </is>
      </c>
      <c r="L4" s="10" t="inlineStr">
        <is>
          <t>?</t>
        </is>
      </c>
      <c r="M4" s="10" t="inlineStr">
        <is>
          <t>J</t>
        </is>
      </c>
      <c r="N4" s="10" t="inlineStr">
        <is>
          <t>J</t>
        </is>
      </c>
      <c r="O4" s="10" t="inlineStr">
        <is>
          <t>J</t>
        </is>
      </c>
      <c r="P4" s="10" t="inlineStr">
        <is>
          <t>J</t>
        </is>
      </c>
      <c r="Q4" s="10" t="inlineStr">
        <is>
          <t>?</t>
        </is>
      </c>
      <c r="R4" s="10">
        <f>IF(A4="","",IF(D4="","?",IF(D4&lt;=1250000,"J","N")))</f>
        <v/>
      </c>
      <c r="S4" s="10">
        <f>IF(A4="","",IF(E4="","?",IF(AND(E4&gt;=90,E4&lt;=115),"J","N")))</f>
        <v/>
      </c>
      <c r="T4" s="11" t="n"/>
      <c r="U4" s="9">
        <f>IF(OR(D4="",T4="",T4="?"),"",ROUND(D4*(Legende!$B$9+Legende!$B$10+T4/100),0))</f>
        <v/>
      </c>
      <c r="V4" s="9">
        <f>IF(U4="","",D4+U4)</f>
        <v/>
      </c>
    </row>
    <row r="5">
      <c r="A5" s="8" t="inlineStr">
        <is>
          <t>deltapro Immobilien</t>
        </is>
      </c>
      <c r="B5" s="8" t="inlineStr">
        <is>
          <t>Obermenzing DG ca. 145 m², Bj. 2008/09 (+ Neubau Westpark Sendling)</t>
        </is>
      </c>
      <c r="C5" s="8" t="inlineStr">
        <is>
          <t>Dachgeschoss</t>
        </is>
      </c>
      <c r="D5" s="9" t="n"/>
      <c r="E5" s="10" t="n">
        <v>145</v>
      </c>
      <c r="F5" s="10">
        <f>IF(A5="","",IF(OR(C5="Etagenwohnung",I5="N",J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+IF(T5="",0,1*IF(T5="?",0.5,MAX(0,1-T5/3.57))))/(19+IF(T5="",0,1)),0)))</f>
        <v/>
      </c>
      <c r="G5" s="10" t="inlineStr">
        <is>
          <t>Absage</t>
        </is>
      </c>
      <c r="H5" s="8" t="inlineStr">
        <is>
          <t>21.10. Absage: Westpark ohne PH/Terrasse, Obermenzing Preis weit über Rahmen</t>
        </is>
      </c>
      <c r="I5" s="10" t="inlineStr">
        <is>
          <t>?</t>
        </is>
      </c>
      <c r="J5" s="10" t="inlineStr">
        <is>
          <t>?</t>
        </is>
      </c>
      <c r="K5" s="10" t="inlineStr">
        <is>
          <t>J</t>
        </is>
      </c>
      <c r="L5" s="10" t="inlineStr">
        <is>
          <t>?</t>
        </is>
      </c>
      <c r="M5" s="10" t="inlineStr">
        <is>
          <t>N</t>
        </is>
      </c>
      <c r="N5" s="10" t="inlineStr">
        <is>
          <t>?</t>
        </is>
      </c>
      <c r="O5" s="10" t="inlineStr">
        <is>
          <t>?</t>
        </is>
      </c>
      <c r="P5" s="10" t="inlineStr">
        <is>
          <t>?</t>
        </is>
      </c>
      <c r="Q5" s="10" t="inlineStr">
        <is>
          <t>?</t>
        </is>
      </c>
      <c r="R5" s="10">
        <f>IF(A5="","",IF(D5="","?",IF(D5&lt;=1250000,"J","N")))</f>
        <v/>
      </c>
      <c r="S5" s="10">
        <f>IF(A5="","",IF(E5="","?",IF(AND(E5&gt;=90,E5&lt;=115),"J","N")))</f>
        <v/>
      </c>
      <c r="T5" s="11" t="n"/>
      <c r="U5" s="9">
        <f>IF(OR(D5="",T5="",T5="?"),"",ROUND(D5*(Legende!$B$9+Legende!$B$10+T5/100),0))</f>
        <v/>
      </c>
      <c r="V5" s="9">
        <f>IF(U5="","",D5+U5)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,J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+IF(T6="",0,1*IF(T6="?",0.5,MAX(0,1-T6/3.57))))/(19+IF(T6="",0,1))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  <c r="T6" s="11" t="n"/>
      <c r="U6" s="9">
        <f>IF(OR(D6="",T6="",T6="?"),"",ROUND(D6*(Legende!$B$9+Legende!$B$10+T6/100),0))</f>
        <v/>
      </c>
      <c r="V6" s="9">
        <f>IF(U6="","",D6+U6)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,J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+IF(T7="",0,1*IF(T7="?",0.5,MAX(0,1-T7/3.57))))/(19+IF(T7="",0,1))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  <c r="T7" s="11" t="n"/>
      <c r="U7" s="9">
        <f>IF(OR(D7="",T7="",T7="?"),"",ROUND(D7*(Legende!$B$9+Legende!$B$10+T7/100),0))</f>
        <v/>
      </c>
      <c r="V7" s="9">
        <f>IF(U7="","",D7+U7)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,J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+IF(T8="",0,1*IF(T8="?",0.5,MAX(0,1-T8/3.57))))/(19+IF(T8="",0,1))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  <c r="T8" s="11" t="n"/>
      <c r="U8" s="9">
        <f>IF(OR(D8="",T8="",T8="?"),"",ROUND(D8*(Legende!$B$9+Legende!$B$10+T8/100),0))</f>
        <v/>
      </c>
      <c r="V8" s="9">
        <f>IF(U8="","",D8+U8)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,J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+IF(T9="",0,1*IF(T9="?",0.5,MAX(0,1-T9/3.57))))/(19+IF(T9="",0,1))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  <c r="T9" s="11" t="n"/>
      <c r="U9" s="9">
        <f>IF(OR(D9="",T9="",T9="?"),"",ROUND(D9*(Legende!$B$9+Legende!$B$10+T9/100),0))</f>
        <v/>
      </c>
      <c r="V9" s="9">
        <f>IF(U9="","",D9+U9)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,J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+IF(T10="",0,1*IF(T10="?",0.5,MAX(0,1-T10/3.57))))/(19+IF(T10="",0,1))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  <c r="T10" s="11" t="n"/>
      <c r="U10" s="9">
        <f>IF(OR(D10="",T10="",T10="?"),"",ROUND(D10*(Legende!$B$9+Legende!$B$10+T10/100),0))</f>
        <v/>
      </c>
      <c r="V10" s="9">
        <f>IF(U10="","",D10+U10)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,J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+IF(T11="",0,1*IF(T11="?",0.5,MAX(0,1-T11/3.57))))/(19+IF(T11="",0,1))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  <c r="T11" s="11" t="n"/>
      <c r="U11" s="9">
        <f>IF(OR(D11="",T11="",T11="?"),"",ROUND(D11*(Legende!$B$9+Legende!$B$10+T11/100),0))</f>
        <v/>
      </c>
      <c r="V11" s="9">
        <f>IF(U11="","",D11+U11)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,J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+IF(T12="",0,1*IF(T12="?",0.5,MAX(0,1-T12/3.57))))/(19+IF(T12="",0,1))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  <c r="T12" s="11" t="n"/>
      <c r="U12" s="9">
        <f>IF(OR(D12="",T12="",T12="?"),"",ROUND(D12*(Legende!$B$9+Legende!$B$10+T12/100),0))</f>
        <v/>
      </c>
      <c r="V12" s="9">
        <f>IF(U12="","",D12+U12)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,J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+IF(T13="",0,1*IF(T13="?",0.5,MAX(0,1-T13/3.57))))/(19+IF(T13="",0,1))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  <c r="T13" s="11" t="n"/>
      <c r="U13" s="9">
        <f>IF(OR(D13="",T13="",T13="?"),"",ROUND(D13*(Legende!$B$9+Legende!$B$10+T13/100),0))</f>
        <v/>
      </c>
      <c r="V13" s="9">
        <f>IF(U13="","",D13+U13)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,J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+IF(T14="",0,1*IF(T14="?",0.5,MAX(0,1-T14/3.57))))/(19+IF(T14="",0,1))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  <c r="T14" s="11" t="n"/>
      <c r="U14" s="9">
        <f>IF(OR(D14="",T14="",T14="?"),"",ROUND(D14*(Legende!$B$9+Legende!$B$10+T14/100),0))</f>
        <v/>
      </c>
      <c r="V14" s="9">
        <f>IF(U14="","",D14+U14)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,J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+IF(T15="",0,1*IF(T15="?",0.5,MAX(0,1-T15/3.57))))/(19+IF(T15="",0,1))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  <c r="T15" s="11" t="n"/>
      <c r="U15" s="9">
        <f>IF(OR(D15="",T15="",T15="?"),"",ROUND(D15*(Legende!$B$9+Legende!$B$10+T15/100),0))</f>
        <v/>
      </c>
      <c r="V15" s="9">
        <f>IF(U15="","",D15+U15)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,J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+IF(T16="",0,1*IF(T16="?",0.5,MAX(0,1-T16/3.57))))/(19+IF(T16="",0,1))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  <c r="T16" s="11" t="n"/>
      <c r="U16" s="9">
        <f>IF(OR(D16="",T16="",T16="?"),"",ROUND(D16*(Legende!$B$9+Legende!$B$10+T16/100),0))</f>
        <v/>
      </c>
      <c r="V16" s="9">
        <f>IF(U16="","",D16+U16)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,J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+IF(T17="",0,1*IF(T17="?",0.5,MAX(0,1-T17/3.57))))/(19+IF(T17="",0,1))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  <c r="T17" s="11" t="n"/>
      <c r="U17" s="9">
        <f>IF(OR(D17="",T17="",T17="?"),"",ROUND(D17*(Legende!$B$9+Legende!$B$10+T17/100),0))</f>
        <v/>
      </c>
      <c r="V17" s="9">
        <f>IF(U17="","",D17+U17)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,J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+IF(T18="",0,1*IF(T18="?",0.5,MAX(0,1-T18/3.57))))/(19+IF(T18="",0,1))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  <c r="T18" s="11" t="n"/>
      <c r="U18" s="9">
        <f>IF(OR(D18="",T18="",T18="?"),"",ROUND(D18*(Legende!$B$9+Legende!$B$10+T18/100),0))</f>
        <v/>
      </c>
      <c r="V18" s="9">
        <f>IF(U18="","",D18+U18)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,J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+IF(T19="",0,1*IF(T19="?",0.5,MAX(0,1-T19/3.57))))/(19+IF(T19="",0,1))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  <c r="T19" s="11" t="n"/>
      <c r="U19" s="9">
        <f>IF(OR(D19="",T19="",T19="?"),"",ROUND(D19*(Legende!$B$9+Legende!$B$10+T19/100),0))</f>
        <v/>
      </c>
      <c r="V19" s="9">
        <f>IF(U19="","",D19+U19)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,J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+IF(T20="",0,1*IF(T20="?",0.5,MAX(0,1-T20/3.57))))/(19+IF(T20="",0,1))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  <c r="T20" s="11" t="n"/>
      <c r="U20" s="9">
        <f>IF(OR(D20="",T20="",T20="?"),"",ROUND(D20*(Legende!$B$9+Legende!$B$10+T20/100),0))</f>
        <v/>
      </c>
      <c r="V20" s="9">
        <f>IF(U20="","",D20+U20)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,J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+IF(T21="",0,1*IF(T21="?",0.5,MAX(0,1-T21/3.57))))/(19+IF(T21="",0,1))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  <c r="T21" s="11" t="n"/>
      <c r="U21" s="9">
        <f>IF(OR(D21="",T21="",T21="?"),"",ROUND(D21*(Legende!$B$9+Legende!$B$10+T21/100),0))</f>
        <v/>
      </c>
      <c r="V21" s="9">
        <f>IF(U21="","",D21+U21)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,J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+IF(T22="",0,1*IF(T22="?",0.5,MAX(0,1-T22/3.57))))/(19+IF(T22="",0,1))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  <c r="T22" s="11" t="n"/>
      <c r="U22" s="9">
        <f>IF(OR(D22="",T22="",T22="?"),"",ROUND(D22*(Legende!$B$9+Legende!$B$10+T22/100),0))</f>
        <v/>
      </c>
      <c r="V22" s="9">
        <f>IF(U22="","",D22+U22)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,J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+IF(T23="",0,1*IF(T23="?",0.5,MAX(0,1-T23/3.57))))/(19+IF(T23="",0,1))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  <c r="T23" s="11" t="n"/>
      <c r="U23" s="9">
        <f>IF(OR(D23="",T23="",T23="?"),"",ROUND(D23*(Legende!$B$9+Legende!$B$10+T23/100),0))</f>
        <v/>
      </c>
      <c r="V23" s="9">
        <f>IF(U23="","",D23+U23)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,J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+IF(T24="",0,1*IF(T24="?",0.5,MAX(0,1-T24/3.57))))/(19+IF(T24="",0,1))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  <c r="T24" s="11" t="n"/>
      <c r="U24" s="9">
        <f>IF(OR(D24="",T24="",T24="?"),"",ROUND(D24*(Legende!$B$9+Legende!$B$10+T24/100),0))</f>
        <v/>
      </c>
      <c r="V24" s="9">
        <f>IF(U24="","",D24+U24)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,J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+IF(T25="",0,1*IF(T25="?",0.5,MAX(0,1-T25/3.57))))/(19+IF(T25="",0,1))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  <c r="T25" s="11" t="n"/>
      <c r="U25" s="9">
        <f>IF(OR(D25="",T25="",T25="?"),"",ROUND(D25*(Legende!$B$9+Legende!$B$10+T25/100),0))</f>
        <v/>
      </c>
      <c r="V25" s="9">
        <f>IF(U25="","",D25+U25)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,J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+IF(T26="",0,1*IF(T26="?",0.5,MAX(0,1-T26/3.57))))/(19+IF(T26="",0,1))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  <c r="T26" s="11" t="n"/>
      <c r="U26" s="9">
        <f>IF(OR(D26="",T26="",T26="?"),"",ROUND(D26*(Legende!$B$9+Legende!$B$10+T26/100),0))</f>
        <v/>
      </c>
      <c r="V26" s="9">
        <f>IF(U26="","",D26+U26)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,J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+IF(T27="",0,1*IF(T27="?",0.5,MAX(0,1-T27/3.57))))/(19+IF(T27="",0,1))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  <c r="T27" s="11" t="n"/>
      <c r="U27" s="9">
        <f>IF(OR(D27="",T27="",T27="?"),"",ROUND(D27*(Legende!$B$9+Legende!$B$10+T27/100),0))</f>
        <v/>
      </c>
      <c r="V27" s="9">
        <f>IF(U27="","",D27+U27)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,J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+IF(T28="",0,1*IF(T28="?",0.5,MAX(0,1-T28/3.57))))/(19+IF(T28="",0,1))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  <c r="T28" s="11" t="n"/>
      <c r="U28" s="9">
        <f>IF(OR(D28="",T28="",T28="?"),"",ROUND(D28*(Legende!$B$9+Legende!$B$10+T28/100),0))</f>
        <v/>
      </c>
      <c r="V28" s="9">
        <f>IF(U28="","",D28+U28)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,J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+IF(T29="",0,1*IF(T29="?",0.5,MAX(0,1-T29/3.57))))/(19+IF(T29="",0,1))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  <c r="T29" s="11" t="n"/>
      <c r="U29" s="9">
        <f>IF(OR(D29="",T29="",T29="?"),"",ROUND(D29*(Legende!$B$9+Legende!$B$10+T29/100),0))</f>
        <v/>
      </c>
      <c r="V29" s="9">
        <f>IF(U29="","",D29+U29)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,J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+IF(T30="",0,1*IF(T30="?",0.5,MAX(0,1-T30/3.57))))/(19+IF(T30="",0,1))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  <c r="T30" s="11" t="n"/>
      <c r="U30" s="9">
        <f>IF(OR(D30="",T30="",T30="?"),"",ROUND(D30*(Legende!$B$9+Legende!$B$10+T30/100),0))</f>
        <v/>
      </c>
      <c r="V30" s="9">
        <f>IF(U30="","",D30+U30)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,J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+IF(T31="",0,1*IF(T31="?",0.5,MAX(0,1-T31/3.57))))/(19+IF(T31="",0,1))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  <c r="T31" s="11" t="n"/>
      <c r="U31" s="9">
        <f>IF(OR(D31="",T31="",T31="?"),"",ROUND(D31*(Legende!$B$9+Legende!$B$10+T31/100),0))</f>
        <v/>
      </c>
      <c r="V31" s="9">
        <f>IF(U31="","",D31+U31)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,J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+IF(T32="",0,1*IF(T32="?",0.5,MAX(0,1-T32/3.57))))/(19+IF(T32="",0,1))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  <c r="T32" s="11" t="n"/>
      <c r="U32" s="9">
        <f>IF(OR(D32="",T32="",T32="?"),"",ROUND(D32*(Legende!$B$9+Legende!$B$10+T32/100),0))</f>
        <v/>
      </c>
      <c r="V32" s="9">
        <f>IF(U32="","",D32+U32)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,J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+IF(T33="",0,1*IF(T33="?",0.5,MAX(0,1-T33/3.57))))/(19+IF(T33="",0,1))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  <c r="T33" s="11" t="n"/>
      <c r="U33" s="9">
        <f>IF(OR(D33="",T33="",T33="?"),"",ROUND(D33*(Legende!$B$9+Legende!$B$10+T33/100),0))</f>
        <v/>
      </c>
      <c r="V33" s="9">
        <f>IF(U33="","",D33+U33)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,J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+IF(T34="",0,1*IF(T34="?",0.5,MAX(0,1-T34/3.57))))/(19+IF(T34="",0,1))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  <c r="T34" s="11" t="n"/>
      <c r="U34" s="9">
        <f>IF(OR(D34="",T34="",T34="?"),"",ROUND(D34*(Legende!$B$9+Legende!$B$10+T34/100),0))</f>
        <v/>
      </c>
      <c r="V34" s="9">
        <f>IF(U34="","",D34+U34)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,J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+IF(T35="",0,1*IF(T35="?",0.5,MAX(0,1-T35/3.57))))/(19+IF(T35="",0,1))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  <c r="T35" s="11" t="n"/>
      <c r="U35" s="9">
        <f>IF(OR(D35="",T35="",T35="?"),"",ROUND(D35*(Legende!$B$9+Legende!$B$10+T35/100),0))</f>
        <v/>
      </c>
      <c r="V35" s="9">
        <f>IF(U35="","",D35+U35)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,J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+IF(T36="",0,1*IF(T36="?",0.5,MAX(0,1-T36/3.57))))/(19+IF(T36="",0,1))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  <c r="T36" s="11" t="n"/>
      <c r="U36" s="9">
        <f>IF(OR(D36="",T36="",T36="?"),"",ROUND(D36*(Legende!$B$9+Legende!$B$10+T36/100),0))</f>
        <v/>
      </c>
      <c r="V36" s="9">
        <f>IF(U36="","",D36+U36)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,J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+IF(T37="",0,1*IF(T37="?",0.5,MAX(0,1-T37/3.57))))/(19+IF(T37="",0,1))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  <c r="T37" s="11" t="n"/>
      <c r="U37" s="9">
        <f>IF(OR(D37="",T37="",T37="?"),"",ROUND(D37*(Legende!$B$9+Legende!$B$10+T37/100),0))</f>
        <v/>
      </c>
      <c r="V37" s="9">
        <f>IF(U37="","",D37+U37)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,J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+IF(T38="",0,1*IF(T38="?",0.5,MAX(0,1-T38/3.57))))/(19+IF(T38="",0,1))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  <c r="T38" s="11" t="n"/>
      <c r="U38" s="9">
        <f>IF(OR(D38="",T38="",T38="?"),"",ROUND(D38*(Legende!$B$9+Legende!$B$10+T38/100),0))</f>
        <v/>
      </c>
      <c r="V38" s="9">
        <f>IF(U38="","",D38+U38)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,J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+IF(T39="",0,1*IF(T39="?",0.5,MAX(0,1-T39/3.57))))/(19+IF(T39="",0,1))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  <c r="T39" s="11" t="n"/>
      <c r="U39" s="9">
        <f>IF(OR(D39="",T39="",T39="?"),"",ROUND(D39*(Legende!$B$9+Legende!$B$10+T39/100),0))</f>
        <v/>
      </c>
      <c r="V39" s="9">
        <f>IF(U39="","",D39+U39)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,J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+IF(T40="",0,1*IF(T40="?",0.5,MAX(0,1-T40/3.57))))/(19+IF(T40="",0,1))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  <c r="T40" s="11" t="n"/>
      <c r="U40" s="9">
        <f>IF(OR(D40="",T40="",T40="?"),"",ROUND(D40*(Legende!$B$9+Legende!$B$10+T40/100),0))</f>
        <v/>
      </c>
      <c r="V40" s="9">
        <f>IF(U40="","",D40+U40)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,J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+IF(T41="",0,1*IF(T41="?",0.5,MAX(0,1-T41/3.57))))/(19+IF(T41="",0,1))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  <c r="T41" s="11" t="n"/>
      <c r="U41" s="9">
        <f>IF(OR(D41="",T41="",T41="?"),"",ROUND(D41*(Legende!$B$9+Legende!$B$10+T41/100),0))</f>
        <v/>
      </c>
      <c r="V41" s="9">
        <f>IF(U41="","",D41+U41)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,J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+IF(T42="",0,1*IF(T42="?",0.5,MAX(0,1-T42/3.57))))/(19+IF(T42="",0,1))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  <c r="T42" s="11" t="n"/>
      <c r="U42" s="9">
        <f>IF(OR(D42="",T42="",T42="?"),"",ROUND(D42*(Legende!$B$9+Legende!$B$10+T42/100),0))</f>
        <v/>
      </c>
      <c r="V42" s="9">
        <f>IF(U42="","",D42+U42)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,J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+IF(T43="",0,1*IF(T43="?",0.5,MAX(0,1-T43/3.57))))/(19+IF(T43="",0,1))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  <c r="T43" s="11" t="n"/>
      <c r="U43" s="9">
        <f>IF(OR(D43="",T43="",T43="?"),"",ROUND(D43*(Legende!$B$9+Legende!$B$10+T43/100),0))</f>
        <v/>
      </c>
      <c r="V43" s="9">
        <f>IF(U43="","",D43+U43)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,J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+IF(T44="",0,1*IF(T44="?",0.5,MAX(0,1-T44/3.57))))/(19+IF(T44="",0,1))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  <c r="T44" s="11" t="n"/>
      <c r="U44" s="9">
        <f>IF(OR(D44="",T44="",T44="?"),"",ROUND(D44*(Legende!$B$9+Legende!$B$10+T44/100),0))</f>
        <v/>
      </c>
      <c r="V44" s="9">
        <f>IF(U44="","",D44+U44)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,J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+IF(T45="",0,1*IF(T45="?",0.5,MAX(0,1-T45/3.57))))/(19+IF(T45="",0,1))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  <c r="T45" s="11" t="n"/>
      <c r="U45" s="9">
        <f>IF(OR(D45="",T45="",T45="?"),"",ROUND(D45*(Legende!$B$9+Legende!$B$10+T45/100),0))</f>
        <v/>
      </c>
      <c r="V45" s="9">
        <f>IF(U45="","",D45+U45)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,J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+IF(T46="",0,1*IF(T46="?",0.5,MAX(0,1-T46/3.57))))/(19+IF(T46="",0,1))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  <c r="T46" s="11" t="n"/>
      <c r="U46" s="9">
        <f>IF(OR(D46="",T46="",T46="?"),"",ROUND(D46*(Legende!$B$9+Legende!$B$10+T46/100),0))</f>
        <v/>
      </c>
      <c r="V46" s="9">
        <f>IF(U46="","",D46+U46)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,J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+IF(T47="",0,1*IF(T47="?",0.5,MAX(0,1-T47/3.57))))/(19+IF(T47="",0,1))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  <c r="T47" s="11" t="n"/>
      <c r="U47" s="9">
        <f>IF(OR(D47="",T47="",T47="?"),"",ROUND(D47*(Legende!$B$9+Legende!$B$10+T47/100),0))</f>
        <v/>
      </c>
      <c r="V47" s="9">
        <f>IF(U47="","",D47+U47)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,J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+IF(T48="",0,1*IF(T48="?",0.5,MAX(0,1-T48/3.57))))/(19+IF(T48="",0,1))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  <c r="T48" s="11" t="n"/>
      <c r="U48" s="9">
        <f>IF(OR(D48="",T48="",T48="?"),"",ROUND(D48*(Legende!$B$9+Legende!$B$10+T48/100),0))</f>
        <v/>
      </c>
      <c r="V48" s="9">
        <f>IF(U48="","",D48+U48)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,J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+IF(T49="",0,1*IF(T49="?",0.5,MAX(0,1-T49/3.57))))/(19+IF(T49="",0,1))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  <c r="T49" s="11" t="n"/>
      <c r="U49" s="9">
        <f>IF(OR(D49="",T49="",T49="?"),"",ROUND(D49*(Legende!$B$9+Legende!$B$10+T49/100),0))</f>
        <v/>
      </c>
      <c r="V49" s="9">
        <f>IF(U49="","",D49+U49)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,J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+IF(T50="",0,1*IF(T50="?",0.5,MAX(0,1-T50/3.57))))/(19+IF(T50="",0,1))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  <c r="T50" s="11" t="n"/>
      <c r="U50" s="9">
        <f>IF(OR(D50="",T50="",T50="?"),"",ROUND(D50*(Legende!$B$9+Legende!$B$10+T50/100),0))</f>
        <v/>
      </c>
      <c r="V50" s="9">
        <f>IF(U50="","",D50+U50)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,J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+IF(T51="",0,1*IF(T51="?",0.5,MAX(0,1-T51/3.57))))/(19+IF(T51="",0,1))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  <c r="T51" s="11" t="n"/>
      <c r="U51" s="9">
        <f>IF(OR(D51="",T51="",T51="?"),"",ROUND(D51*(Legende!$B$9+Legende!$B$10+T51/100),0))</f>
        <v/>
      </c>
      <c r="V51" s="9">
        <f>IF(U51="","",D51+U51)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,J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+IF(T52="",0,1*IF(T52="?",0.5,MAX(0,1-T52/3.57))))/(19+IF(T52="",0,1))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  <c r="T52" s="11" t="n"/>
      <c r="U52" s="9">
        <f>IF(OR(D52="",T52="",T52="?"),"",ROUND(D52*(Legende!$B$9+Legende!$B$10+T52/100),0))</f>
        <v/>
      </c>
      <c r="V52" s="9">
        <f>IF(U52="","",D52+U52)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,J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+IF(T53="",0,1*IF(T53="?",0.5,MAX(0,1-T53/3.57))))/(19+IF(T53="",0,1))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  <c r="T53" s="11" t="n"/>
      <c r="U53" s="9">
        <f>IF(OR(D53="",T53="",T53="?"),"",ROUND(D53*(Legende!$B$9+Legende!$B$10+T53/100),0))</f>
        <v/>
      </c>
      <c r="V53" s="9">
        <f>IF(U53="","",D53+U53)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,J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+IF(T54="",0,1*IF(T54="?",0.5,MAX(0,1-T54/3.57))))/(19+IF(T54="",0,1))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  <c r="T54" s="11" t="n"/>
      <c r="U54" s="9">
        <f>IF(OR(D54="",T54="",T54="?"),"",ROUND(D54*(Legende!$B$9+Legende!$B$10+T54/100),0))</f>
        <v/>
      </c>
      <c r="V54" s="9">
        <f>IF(U54="","",D54+U54)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,J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+IF(T55="",0,1*IF(T55="?",0.5,MAX(0,1-T55/3.57))))/(19+IF(T55="",0,1))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  <c r="T55" s="11" t="n"/>
      <c r="U55" s="9">
        <f>IF(OR(D55="",T55="",T55="?"),"",ROUND(D55*(Legende!$B$9+Legende!$B$10+T55/100),0))</f>
        <v/>
      </c>
      <c r="V55" s="9">
        <f>IF(U55="","",D55+U55)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,J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+IF(T56="",0,1*IF(T56="?",0.5,MAX(0,1-T56/3.57))))/(19+IF(T56="",0,1))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  <c r="T56" s="11" t="n"/>
      <c r="U56" s="9">
        <f>IF(OR(D56="",T56="",T56="?"),"",ROUND(D56*(Legende!$B$9+Legende!$B$10+T56/100),0))</f>
        <v/>
      </c>
      <c r="V56" s="9">
        <f>IF(U56="","",D56+U56)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,J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+IF(T57="",0,1*IF(T57="?",0.5,MAX(0,1-T57/3.57))))/(19+IF(T57="",0,1))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  <c r="T57" s="11" t="n"/>
      <c r="U57" s="9">
        <f>IF(OR(D57="",T57="",T57="?"),"",ROUND(D57*(Legende!$B$9+Legende!$B$10+T57/100),0))</f>
        <v/>
      </c>
      <c r="V57" s="9">
        <f>IF(U57="","",D57+U57)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,J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+IF(T58="",0,1*IF(T58="?",0.5,MAX(0,1-T58/3.57))))/(19+IF(T58="",0,1))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  <c r="T58" s="11" t="n"/>
      <c r="U58" s="9">
        <f>IF(OR(D58="",T58="",T58="?"),"",ROUND(D58*(Legende!$B$9+Legende!$B$10+T58/100),0))</f>
        <v/>
      </c>
      <c r="V58" s="9">
        <f>IF(U58="","",D58+U58)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,J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+IF(T59="",0,1*IF(T59="?",0.5,MAX(0,1-T59/3.57))))/(19+IF(T59="",0,1))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  <c r="T59" s="11" t="n"/>
      <c r="U59" s="9">
        <f>IF(OR(D59="",T59="",T59="?"),"",ROUND(D59*(Legende!$B$9+Legende!$B$10+T59/100),0))</f>
        <v/>
      </c>
      <c r="V59" s="9">
        <f>IF(U59="","",D59+U59)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,J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+IF(T60="",0,1*IF(T60="?",0.5,MAX(0,1-T60/3.57))))/(19+IF(T60="",0,1))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  <c r="T60" s="11" t="n"/>
      <c r="U60" s="9">
        <f>IF(OR(D60="",T60="",T60="?"),"",ROUND(D60*(Legende!$B$9+Legende!$B$10+T60/100),0))</f>
        <v/>
      </c>
      <c r="V60" s="9">
        <f>IF(U60="","",D60+U60)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,J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+IF(T61="",0,1*IF(T61="?",0.5,MAX(0,1-T61/3.57))))/(19+IF(T61="",0,1))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  <c r="T61" s="11" t="n"/>
      <c r="U61" s="9">
        <f>IF(OR(D61="",T61="",T61="?"),"",ROUND(D61*(Legende!$B$9+Legende!$B$10+T61/100),0))</f>
        <v/>
      </c>
      <c r="V61" s="9">
        <f>IF(U61="","",D61+U61)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,J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+IF(T62="",0,1*IF(T62="?",0.5,MAX(0,1-T62/3.57))))/(19+IF(T62="",0,1))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  <c r="T62" s="11" t="n"/>
      <c r="U62" s="9">
        <f>IF(OR(D62="",T62="",T62="?"),"",ROUND(D62*(Legende!$B$9+Legende!$B$10+T62/100),0))</f>
        <v/>
      </c>
      <c r="V62" s="9">
        <f>IF(U62="","",D62+U62)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,J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+IF(T63="",0,1*IF(T63="?",0.5,MAX(0,1-T63/3.57))))/(19+IF(T63="",0,1))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  <c r="T63" s="11" t="n"/>
      <c r="U63" s="9">
        <f>IF(OR(D63="",T63="",T63="?"),"",ROUND(D63*(Legende!$B$9+Legende!$B$10+T63/100),0))</f>
        <v/>
      </c>
      <c r="V63" s="9">
        <f>IF(U63="","",D63+U63)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,J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+IF(T64="",0,1*IF(T64="?",0.5,MAX(0,1-T64/3.57))))/(19+IF(T64="",0,1))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  <c r="T64" s="11" t="n"/>
      <c r="U64" s="9">
        <f>IF(OR(D64="",T64="",T64="?"),"",ROUND(D64*(Legende!$B$9+Legende!$B$10+T64/100),0))</f>
        <v/>
      </c>
      <c r="V64" s="9">
        <f>IF(U64="","",D64+U64)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,J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+IF(T65="",0,1*IF(T65="?",0.5,MAX(0,1-T65/3.57))))/(19+IF(T65="",0,1))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  <c r="T65" s="11" t="n"/>
      <c r="U65" s="9">
        <f>IF(OR(D65="",T65="",T65="?"),"",ROUND(D65*(Legende!$B$9+Legende!$B$10+T65/100),0))</f>
        <v/>
      </c>
      <c r="V65" s="9">
        <f>IF(U65="","",D65+U65)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,J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+IF(T66="",0,1*IF(T66="?",0.5,MAX(0,1-T66/3.57))))/(19+IF(T66="",0,1))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  <c r="T66" s="11" t="n"/>
      <c r="U66" s="9">
        <f>IF(OR(D66="",T66="",T66="?"),"",ROUND(D66*(Legende!$B$9+Legende!$B$10+T66/100),0))</f>
        <v/>
      </c>
      <c r="V66" s="9">
        <f>IF(U66="","",D66+U66)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,J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+IF(T67="",0,1*IF(T67="?",0.5,MAX(0,1-T67/3.57))))/(19+IF(T67="",0,1))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  <c r="T67" s="11" t="n"/>
      <c r="U67" s="9">
        <f>IF(OR(D67="",T67="",T67="?"),"",ROUND(D67*(Legende!$B$9+Legende!$B$10+T67/100),0))</f>
        <v/>
      </c>
      <c r="V67" s="9">
        <f>IF(U67="","",D67+U67)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,J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+IF(T68="",0,1*IF(T68="?",0.5,MAX(0,1-T68/3.57))))/(19+IF(T68="",0,1))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  <c r="T68" s="11" t="n"/>
      <c r="U68" s="9">
        <f>IF(OR(D68="",T68="",T68="?"),"",ROUND(D68*(Legende!$B$9+Legende!$B$10+T68/100),0))</f>
        <v/>
      </c>
      <c r="V68" s="9">
        <f>IF(U68="","",D68+U68)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,J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+IF(T69="",0,1*IF(T69="?",0.5,MAX(0,1-T69/3.57))))/(19+IF(T69="",0,1))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  <c r="T69" s="11" t="n"/>
      <c r="U69" s="9">
        <f>IF(OR(D69="",T69="",T69="?"),"",ROUND(D69*(Legende!$B$9+Legende!$B$10+T69/100),0))</f>
        <v/>
      </c>
      <c r="V69" s="9">
        <f>IF(U69="","",D69+U69)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,J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+IF(T70="",0,1*IF(T70="?",0.5,MAX(0,1-T70/3.57))))/(19+IF(T70="",0,1))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  <c r="T70" s="11" t="n"/>
      <c r="U70" s="9">
        <f>IF(OR(D70="",T70="",T70="?"),"",ROUND(D70*(Legende!$B$9+Legende!$B$10+T70/100),0))</f>
        <v/>
      </c>
      <c r="V70" s="9">
        <f>IF(U70="","",D70+U70)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,J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+IF(T71="",0,1*IF(T71="?",0.5,MAX(0,1-T71/3.57))))/(19+IF(T71="",0,1))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  <c r="T71" s="11" t="n"/>
      <c r="U71" s="9">
        <f>IF(OR(D71="",T71="",T71="?"),"",ROUND(D71*(Legende!$B$9+Legende!$B$10+T71/100),0))</f>
        <v/>
      </c>
      <c r="V71" s="9">
        <f>IF(U71="","",D71+U71)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,J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+IF(T72="",0,1*IF(T72="?",0.5,MAX(0,1-T72/3.57))))/(19+IF(T72="",0,1))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  <c r="T72" s="11" t="n"/>
      <c r="U72" s="9">
        <f>IF(OR(D72="",T72="",T72="?"),"",ROUND(D72*(Legende!$B$9+Legende!$B$10+T72/100),0))</f>
        <v/>
      </c>
      <c r="V72" s="9">
        <f>IF(U72="","",D72+U72)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,J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+IF(T73="",0,1*IF(T73="?",0.5,MAX(0,1-T73/3.57))))/(19+IF(T73="",0,1))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  <c r="T73" s="11" t="n"/>
      <c r="U73" s="9">
        <f>IF(OR(D73="",T73="",T73="?"),"",ROUND(D73*(Legende!$B$9+Legende!$B$10+T73/100),0))</f>
        <v/>
      </c>
      <c r="V73" s="9">
        <f>IF(U73="","",D73+U73)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,J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+IF(T74="",0,1*IF(T74="?",0.5,MAX(0,1-T74/3.57))))/(19+IF(T74="",0,1))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  <c r="T74" s="11" t="n"/>
      <c r="U74" s="9">
        <f>IF(OR(D74="",T74="",T74="?"),"",ROUND(D74*(Legende!$B$9+Legende!$B$10+T74/100),0))</f>
        <v/>
      </c>
      <c r="V74" s="9">
        <f>IF(U74="","",D74+U74)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,J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+IF(T75="",0,1*IF(T75="?",0.5,MAX(0,1-T75/3.57))))/(19+IF(T75="",0,1))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  <c r="T75" s="11" t="n"/>
      <c r="U75" s="9">
        <f>IF(OR(D75="",T75="",T75="?"),"",ROUND(D75*(Legende!$B$9+Legende!$B$10+T75/100),0))</f>
        <v/>
      </c>
      <c r="V75" s="9">
        <f>IF(U75="","",D75+U75)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,J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+IF(T76="",0,1*IF(T76="?",0.5,MAX(0,1-T76/3.57))))/(19+IF(T76="",0,1))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  <c r="T76" s="11" t="n"/>
      <c r="U76" s="9">
        <f>IF(OR(D76="",T76="",T76="?"),"",ROUND(D76*(Legende!$B$9+Legende!$B$10+T76/100),0))</f>
        <v/>
      </c>
      <c r="V76" s="9">
        <f>IF(U76="","",D76+U76)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,J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+IF(T77="",0,1*IF(T77="?",0.5,MAX(0,1-T77/3.57))))/(19+IF(T77="",0,1))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  <c r="T77" s="11" t="n"/>
      <c r="U77" s="9">
        <f>IF(OR(D77="",T77="",T77="?"),"",ROUND(D77*(Legende!$B$9+Legende!$B$10+T77/100),0))</f>
        <v/>
      </c>
      <c r="V77" s="9">
        <f>IF(U77="","",D77+U77)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,J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+IF(T78="",0,1*IF(T78="?",0.5,MAX(0,1-T78/3.57))))/(19+IF(T78="",0,1))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  <c r="T78" s="11" t="n"/>
      <c r="U78" s="9">
        <f>IF(OR(D78="",T78="",T78="?"),"",ROUND(D78*(Legende!$B$9+Legende!$B$10+T78/100),0))</f>
        <v/>
      </c>
      <c r="V78" s="9">
        <f>IF(U78="","",D78+U78)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,J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+IF(T79="",0,1*IF(T79="?",0.5,MAX(0,1-T79/3.57))))/(19+IF(T79="",0,1))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  <c r="T79" s="11" t="n"/>
      <c r="U79" s="9">
        <f>IF(OR(D79="",T79="",T79="?"),"",ROUND(D79*(Legende!$B$9+Legende!$B$10+T79/100),0))</f>
        <v/>
      </c>
      <c r="V79" s="9">
        <f>IF(U79="","",D79+U79)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,J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+IF(T80="",0,1*IF(T80="?",0.5,MAX(0,1-T80/3.57))))/(19+IF(T80="",0,1))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  <c r="T80" s="11" t="n"/>
      <c r="U80" s="9">
        <f>IF(OR(D80="",T80="",T80="?"),"",ROUND(D80*(Legende!$B$9+Legende!$B$10+T80/100),0))</f>
        <v/>
      </c>
      <c r="V80" s="9">
        <f>IF(U80="","",D80+U80)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,J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+IF(T81="",0,1*IF(T81="?",0.5,MAX(0,1-T81/3.57))))/(19+IF(T81="",0,1))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  <c r="T81" s="11" t="n"/>
      <c r="U81" s="9">
        <f>IF(OR(D81="",T81="",T81="?"),"",ROUND(D81*(Legende!$B$9+Legende!$B$10+T81/100),0))</f>
        <v/>
      </c>
      <c r="V81" s="9">
        <f>IF(U81="","",D81+U81)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,J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+IF(T82="",0,1*IF(T82="?",0.5,MAX(0,1-T82/3.57))))/(19+IF(T82="",0,1))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  <c r="T82" s="11" t="n"/>
      <c r="U82" s="9">
        <f>IF(OR(D82="",T82="",T82="?"),"",ROUND(D82*(Legende!$B$9+Legende!$B$10+T82/100),0))</f>
        <v/>
      </c>
      <c r="V82" s="9">
        <f>IF(U82="","",D82+U82)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,J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+IF(T83="",0,1*IF(T83="?",0.5,MAX(0,1-T83/3.57))))/(19+IF(T83="",0,1))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  <c r="T83" s="11" t="n"/>
      <c r="U83" s="9">
        <f>IF(OR(D83="",T83="",T83="?"),"",ROUND(D83*(Legende!$B$9+Legende!$B$10+T83/100),0))</f>
        <v/>
      </c>
      <c r="V83" s="9">
        <f>IF(U83="","",D83+U83)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,J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+IF(T84="",0,1*IF(T84="?",0.5,MAX(0,1-T84/3.57))))/(19+IF(T84="",0,1))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  <c r="T84" s="11" t="n"/>
      <c r="U84" s="9">
        <f>IF(OR(D84="",T84="",T84="?"),"",ROUND(D84*(Legende!$B$9+Legende!$B$10+T84/100),0))</f>
        <v/>
      </c>
      <c r="V84" s="9">
        <f>IF(U84="","",D84+U84)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,J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+IF(T85="",0,1*IF(T85="?",0.5,MAX(0,1-T85/3.57))))/(19+IF(T85="",0,1))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  <c r="T85" s="11" t="n"/>
      <c r="U85" s="9">
        <f>IF(OR(D85="",T85="",T85="?"),"",ROUND(D85*(Legende!$B$9+Legende!$B$10+T85/100),0))</f>
        <v/>
      </c>
      <c r="V85" s="9">
        <f>IF(U85="","",D85+U85)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,J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+IF(T86="",0,1*IF(T86="?",0.5,MAX(0,1-T86/3.57))))/(19+IF(T86="",0,1))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  <c r="T86" s="11" t="n"/>
      <c r="U86" s="9">
        <f>IF(OR(D86="",T86="",T86="?"),"",ROUND(D86*(Legende!$B$9+Legende!$B$10+T86/100),0))</f>
        <v/>
      </c>
      <c r="V86" s="9">
        <f>IF(U86="","",D86+U86)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,J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+IF(T87="",0,1*IF(T87="?",0.5,MAX(0,1-T87/3.57))))/(19+IF(T87="",0,1))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  <c r="T87" s="11" t="n"/>
      <c r="U87" s="9">
        <f>IF(OR(D87="",T87="",T87="?"),"",ROUND(D87*(Legende!$B$9+Legende!$B$10+T87/100),0))</f>
        <v/>
      </c>
      <c r="V87" s="9">
        <f>IF(U87="","",D87+U87)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,J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+IF(T88="",0,1*IF(T88="?",0.5,MAX(0,1-T88/3.57))))/(19+IF(T88="",0,1))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  <c r="T88" s="11" t="n"/>
      <c r="U88" s="9">
        <f>IF(OR(D88="",T88="",T88="?"),"",ROUND(D88*(Legende!$B$9+Legende!$B$10+T88/100),0))</f>
        <v/>
      </c>
      <c r="V88" s="9">
        <f>IF(U88="","",D88+U88)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,J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+IF(T89="",0,1*IF(T89="?",0.5,MAX(0,1-T89/3.57))))/(19+IF(T89="",0,1))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  <c r="T89" s="11" t="n"/>
      <c r="U89" s="9">
        <f>IF(OR(D89="",T89="",T89="?"),"",ROUND(D89*(Legende!$B$9+Legende!$B$10+T89/100),0))</f>
        <v/>
      </c>
      <c r="V89" s="9">
        <f>IF(U89="","",D89+U89)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,J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+IF(T90="",0,1*IF(T90="?",0.5,MAX(0,1-T90/3.57))))/(19+IF(T90="",0,1))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  <c r="T90" s="11" t="n"/>
      <c r="U90" s="9">
        <f>IF(OR(D90="",T90="",T90="?"),"",ROUND(D90*(Legende!$B$9+Legende!$B$10+T90/100),0))</f>
        <v/>
      </c>
      <c r="V90" s="9">
        <f>IF(U90="","",D90+U90)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,J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+IF(T91="",0,1*IF(T91="?",0.5,MAX(0,1-T91/3.57))))/(19+IF(T91="",0,1))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  <c r="T91" s="11" t="n"/>
      <c r="U91" s="9">
        <f>IF(OR(D91="",T91="",T91="?"),"",ROUND(D91*(Legende!$B$9+Legende!$B$10+T91/100),0))</f>
        <v/>
      </c>
      <c r="V91" s="9">
        <f>IF(U91="","",D91+U91)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,J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+IF(T92="",0,1*IF(T92="?",0.5,MAX(0,1-T92/3.57))))/(19+IF(T92="",0,1))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  <c r="T92" s="11" t="n"/>
      <c r="U92" s="9">
        <f>IF(OR(D92="",T92="",T92="?"),"",ROUND(D92*(Legende!$B$9+Legende!$B$10+T92/100),0))</f>
        <v/>
      </c>
      <c r="V92" s="9">
        <f>IF(U92="","",D92+U92)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,J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+IF(T93="",0,1*IF(T93="?",0.5,MAX(0,1-T93/3.57))))/(19+IF(T93="",0,1))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  <c r="T93" s="11" t="n"/>
      <c r="U93" s="9">
        <f>IF(OR(D93="",T93="",T93="?"),"",ROUND(D93*(Legende!$B$9+Legende!$B$10+T93/100),0))</f>
        <v/>
      </c>
      <c r="V93" s="9">
        <f>IF(U93="","",D93+U93)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,J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+IF(T94="",0,1*IF(T94="?",0.5,MAX(0,1-T94/3.57))))/(19+IF(T94="",0,1))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  <c r="T94" s="11" t="n"/>
      <c r="U94" s="9">
        <f>IF(OR(D94="",T94="",T94="?"),"",ROUND(D94*(Legende!$B$9+Legende!$B$10+T94/100),0))</f>
        <v/>
      </c>
      <c r="V94" s="9">
        <f>IF(U94="","",D94+U94)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,J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+IF(T95="",0,1*IF(T95="?",0.5,MAX(0,1-T95/3.57))))/(19+IF(T95="",0,1))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  <c r="T95" s="11" t="n"/>
      <c r="U95" s="9">
        <f>IF(OR(D95="",T95="",T95="?"),"",ROUND(D95*(Legende!$B$9+Legende!$B$10+T95/100),0))</f>
        <v/>
      </c>
      <c r="V95" s="9">
        <f>IF(U95="","",D95+U95)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,J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+IF(T96="",0,1*IF(T96="?",0.5,MAX(0,1-T96/3.57))))/(19+IF(T96="",0,1))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  <c r="T96" s="11" t="n"/>
      <c r="U96" s="9">
        <f>IF(OR(D96="",T96="",T96="?"),"",ROUND(D96*(Legende!$B$9+Legende!$B$10+T96/100),0))</f>
        <v/>
      </c>
      <c r="V96" s="9">
        <f>IF(U96="","",D96+U96)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,J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+IF(T97="",0,1*IF(T97="?",0.5,MAX(0,1-T97/3.57))))/(19+IF(T97="",0,1))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  <c r="T97" s="11" t="n"/>
      <c r="U97" s="9">
        <f>IF(OR(D97="",T97="",T97="?"),"",ROUND(D97*(Legende!$B$9+Legende!$B$10+T97/100),0))</f>
        <v/>
      </c>
      <c r="V97" s="9">
        <f>IF(U97="","",D97+U97)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,J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+IF(T98="",0,1*IF(T98="?",0.5,MAX(0,1-T98/3.57))))/(19+IF(T98="",0,1))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  <c r="T98" s="11" t="n"/>
      <c r="U98" s="9">
        <f>IF(OR(D98="",T98="",T98="?"),"",ROUND(D98*(Legende!$B$9+Legende!$B$10+T98/100),0))</f>
        <v/>
      </c>
      <c r="V98" s="9">
        <f>IF(U98="","",D98+U98)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,J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+IF(T99="",0,1*IF(T99="?",0.5,MAX(0,1-T99/3.57))))/(19+IF(T99="",0,1))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  <c r="T99" s="11" t="n"/>
      <c r="U99" s="9">
        <f>IF(OR(D99="",T99="",T99="?"),"",ROUND(D99*(Legende!$B$9+Legende!$B$10+T99/100),0))</f>
        <v/>
      </c>
      <c r="V99" s="9">
        <f>IF(U99="","",D99+U99)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,J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+IF(T100="",0,1*IF(T100="?",0.5,MAX(0,1-T100/3.57))))/(19+IF(T100="",0,1))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  <c r="T100" s="11" t="n"/>
      <c r="U100" s="9">
        <f>IF(OR(D100="",T100="",T100="?"),"",ROUND(D100*(Legende!$B$9+Legende!$B$10+T100/100),0))</f>
        <v/>
      </c>
      <c r="V100" s="9">
        <f>IF(U100="","",D100+U100)</f>
        <v/>
      </c>
    </row>
  </sheetData>
  <autoFilter ref="A1:V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V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Etagenwohnung, Aufzug = N oder keine große Terrasse (Südterrasse = N; Balkon/überdachter Balkon zählt nicht).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  <row r="7">
      <c r="A7" t="inlineStr">
        <is>
          <t>Kosten (ab 21.10.2026, nur NEUE Objekte): Spalte „Provision %“ eintragen (0 = provisionsfrei, ? = unbekannt) → Nebenkosten und Gesamtkosten rechnen sich selbst.</t>
        </is>
      </c>
    </row>
    <row r="8">
      <c r="A8" t="inlineStr">
        <is>
          <t>Provision im Score: Gewicht ×1 (klein). Provisionsfrei = volle Punkte, 3,57 % = 0 Punkte. Leer = zählt nicht (alte Objekte bleiben unverändert).</t>
        </is>
      </c>
    </row>
    <row r="9">
      <c r="A9" t="inlineStr">
        <is>
          <t>Annahme Grunderwerbsteuer Bayern</t>
        </is>
      </c>
      <c r="B9" s="12" t="n">
        <v>0.035</v>
      </c>
    </row>
    <row r="10">
      <c r="A10" t="inlineStr">
        <is>
          <t>Annahme Notar + Grundbuch (ca.)</t>
        </is>
      </c>
      <c r="B10" s="1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2026-10-21T09:02:50Z</dcterms:created>
  <dcterms:modified xmlns:dcterms="http://purl.org/dc/terms/" xmlns:xsi="http://www.w3.org/2001/XMLSchema-instance" xsi:type="dcterms:W3CDTF">2026-10-21T09:02:50Z</dcterms:modified>
</cp:coreProperties>
</file>